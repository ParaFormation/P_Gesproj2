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filterPrivacy="1" showInkAnnotation="0" codeName="ThisWorkbook"/>
  <bookViews>
    <workbookView xWindow="120" yWindow="132" windowWidth="15180" windowHeight="8832"/>
  </bookViews>
  <sheets>
    <sheet name="info-agenda" sheetId="17" r:id="rId1"/>
    <sheet name="questionnaire" sheetId="8" r:id="rId2"/>
    <sheet name="graphiques" sheetId="9" r:id="rId3"/>
    <sheet name="bd" sheetId="14" r:id="rId4"/>
    <sheet name="cstes" sheetId="16" state="hidden" r:id="rId5"/>
  </sheets>
  <externalReferences>
    <externalReference r:id="rId6"/>
  </externalReferences>
  <definedNames>
    <definedName name="_xlnm._FilterDatabase" localSheetId="1" hidden="1">#REF!</definedName>
    <definedName name="idcours">[1]!Tableau1[ID cours]</definedName>
    <definedName name="_xlnm.Print_Area" localSheetId="2">graphiques!$A$1:$A$189</definedName>
    <definedName name="_xlnm.Print_Area" localSheetId="1">questionnaire!$A$1:$K$36</definedName>
  </definedNames>
  <calcPr calcId="152511"/>
</workbook>
</file>

<file path=xl/calcChain.xml><?xml version="1.0" encoding="utf-8"?>
<calcChain xmlns="http://schemas.openxmlformats.org/spreadsheetml/2006/main">
  <c r="E1" i="8" l="1"/>
  <c r="C1" i="8"/>
  <c r="A3" i="8"/>
  <c r="A2" i="8"/>
  <c r="A1" i="8"/>
  <c r="E22" i="17" l="1"/>
  <c r="F22" i="17"/>
  <c r="H22" i="17"/>
  <c r="G22" i="17"/>
  <c r="D22" i="17"/>
  <c r="C22" i="17"/>
  <c r="B22" i="17"/>
  <c r="A22" i="17"/>
  <c r="B3" i="8" l="1"/>
  <c r="D2" i="8"/>
  <c r="C2" i="8"/>
  <c r="B1" i="8"/>
  <c r="F1" i="8"/>
  <c r="B2" i="8"/>
  <c r="F2" i="8"/>
  <c r="B21" i="17"/>
  <c r="C21" i="17"/>
  <c r="D21" i="17"/>
  <c r="E21" i="17"/>
  <c r="G21" i="17"/>
  <c r="H21" i="17"/>
  <c r="A21" i="17"/>
  <c r="A173" i="9" l="1"/>
  <c r="A156" i="9"/>
  <c r="A139" i="9"/>
  <c r="A122" i="9"/>
  <c r="A105" i="9"/>
  <c r="A88" i="9"/>
  <c r="A71" i="9"/>
  <c r="A54" i="9"/>
  <c r="A37" i="9"/>
  <c r="A20" i="9"/>
  <c r="A3" i="9"/>
  <c r="I23" i="14"/>
  <c r="H23" i="14"/>
  <c r="I1" i="14"/>
  <c r="H1" i="14"/>
  <c r="G1" i="14"/>
  <c r="D1" i="8" l="1"/>
  <c r="I33" i="14"/>
  <c r="H33" i="14"/>
  <c r="G33" i="14"/>
  <c r="F33" i="14"/>
  <c r="E33" i="14"/>
  <c r="D33" i="14"/>
  <c r="C33" i="14"/>
  <c r="B33" i="14"/>
  <c r="A33" i="14"/>
  <c r="I32" i="14"/>
  <c r="H32" i="14"/>
  <c r="G32" i="14"/>
  <c r="F32" i="14"/>
  <c r="E32" i="14"/>
  <c r="D32" i="14"/>
  <c r="C32" i="14"/>
  <c r="B32" i="14"/>
  <c r="A32" i="14"/>
  <c r="I31" i="14"/>
  <c r="H31" i="14"/>
  <c r="G31" i="14"/>
  <c r="F31" i="14"/>
  <c r="E31" i="14"/>
  <c r="D31" i="14"/>
  <c r="C31" i="14"/>
  <c r="B31" i="14"/>
  <c r="A31" i="14"/>
  <c r="I30" i="14"/>
  <c r="H30" i="14"/>
  <c r="G30" i="14"/>
  <c r="F30" i="14"/>
  <c r="E30" i="14"/>
  <c r="D30" i="14"/>
  <c r="C30" i="14"/>
  <c r="B30" i="14"/>
  <c r="A30" i="14"/>
  <c r="I29" i="14"/>
  <c r="H29" i="14"/>
  <c r="G29" i="14"/>
  <c r="E29" i="14"/>
  <c r="D29" i="14"/>
  <c r="I28" i="14"/>
  <c r="H28" i="14"/>
  <c r="G28" i="14"/>
  <c r="E28" i="14"/>
  <c r="D28" i="14"/>
  <c r="I27" i="14"/>
  <c r="H27" i="14"/>
  <c r="G27" i="14"/>
  <c r="E27" i="14"/>
  <c r="D27" i="14"/>
  <c r="I26" i="14"/>
  <c r="H26" i="14"/>
  <c r="G26" i="14"/>
  <c r="E26" i="14"/>
  <c r="D26" i="14"/>
  <c r="I25" i="14"/>
  <c r="H25" i="14"/>
  <c r="G25" i="14"/>
  <c r="E25" i="14"/>
  <c r="D25" i="14"/>
  <c r="G24" i="14"/>
  <c r="E24" i="14"/>
  <c r="D24" i="14"/>
  <c r="H24" i="14"/>
  <c r="I24" i="14"/>
  <c r="F21" i="14"/>
  <c r="E21" i="14"/>
  <c r="D21" i="14"/>
  <c r="C21" i="14"/>
  <c r="B21" i="14"/>
  <c r="A21" i="14"/>
  <c r="F20" i="14"/>
  <c r="E20" i="14"/>
  <c r="D20" i="14"/>
  <c r="C20" i="14"/>
  <c r="B20" i="14"/>
  <c r="A20" i="14"/>
  <c r="F19" i="14"/>
  <c r="E19" i="14"/>
  <c r="D19" i="14"/>
  <c r="C19" i="14"/>
  <c r="B19" i="14"/>
  <c r="A19" i="14"/>
  <c r="F18" i="14"/>
  <c r="E18" i="14"/>
  <c r="D18" i="14"/>
  <c r="C18" i="14"/>
  <c r="B18" i="14"/>
  <c r="A18" i="14"/>
  <c r="F17" i="14"/>
  <c r="E17" i="14"/>
  <c r="D17" i="14"/>
  <c r="C17" i="14"/>
  <c r="B17" i="14"/>
  <c r="A17" i="14"/>
  <c r="F16" i="14"/>
  <c r="E16" i="14"/>
  <c r="D16" i="14"/>
  <c r="C16" i="14"/>
  <c r="B16" i="14"/>
  <c r="A16" i="14"/>
  <c r="F15" i="14"/>
  <c r="E15" i="14"/>
  <c r="D15" i="14"/>
  <c r="C15" i="14"/>
  <c r="B15" i="14"/>
  <c r="A15" i="14"/>
  <c r="F14" i="14"/>
  <c r="E14" i="14"/>
  <c r="D14" i="14"/>
  <c r="C14" i="14"/>
  <c r="B14" i="14"/>
  <c r="A14" i="14"/>
  <c r="F13" i="14"/>
  <c r="E13" i="14"/>
  <c r="D13" i="14"/>
  <c r="C13" i="14"/>
  <c r="B13" i="14"/>
  <c r="A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 l="1"/>
  <c r="G2" i="14"/>
  <c r="N21" i="14"/>
  <c r="M21" i="14"/>
  <c r="L21" i="14"/>
  <c r="K21" i="14"/>
  <c r="J21" i="14"/>
  <c r="N20" i="14"/>
  <c r="M20" i="14"/>
  <c r="L20" i="14"/>
  <c r="K20" i="14"/>
  <c r="J20" i="14"/>
  <c r="N19" i="14"/>
  <c r="M19" i="14"/>
  <c r="L19" i="14"/>
  <c r="K19" i="14"/>
  <c r="J19" i="14"/>
  <c r="N18" i="14"/>
  <c r="M18" i="14"/>
  <c r="L18" i="14"/>
  <c r="K18" i="14"/>
  <c r="J18" i="14"/>
  <c r="N17" i="14"/>
  <c r="M17" i="14"/>
  <c r="L17" i="14"/>
  <c r="K17" i="14"/>
  <c r="J17" i="14"/>
  <c r="N16" i="14"/>
  <c r="M16" i="14"/>
  <c r="L16" i="14"/>
  <c r="K16" i="14"/>
  <c r="J16" i="14"/>
  <c r="N15" i="14"/>
  <c r="M15" i="14"/>
  <c r="L15" i="14"/>
  <c r="K15" i="14"/>
  <c r="J15" i="14"/>
  <c r="N14" i="14"/>
  <c r="M14" i="14"/>
  <c r="L14" i="14"/>
  <c r="K14" i="14"/>
  <c r="J14" i="14"/>
  <c r="N13" i="14"/>
  <c r="M13" i="14"/>
  <c r="L13" i="14"/>
  <c r="K13" i="14"/>
  <c r="J13" i="14"/>
  <c r="N12" i="14"/>
  <c r="M12" i="14"/>
  <c r="L12" i="14"/>
  <c r="K12" i="14"/>
  <c r="J12" i="14"/>
  <c r="N11" i="14"/>
  <c r="M11" i="14"/>
  <c r="L11" i="14"/>
  <c r="K11" i="14"/>
  <c r="J11" i="14"/>
  <c r="N10" i="14"/>
  <c r="M10" i="14"/>
  <c r="L10" i="14"/>
  <c r="K10" i="14"/>
  <c r="J10" i="14"/>
  <c r="N9" i="14"/>
  <c r="M9" i="14"/>
  <c r="L9" i="14"/>
  <c r="K9" i="14"/>
  <c r="J9" i="14"/>
  <c r="N8" i="14"/>
  <c r="M8" i="14"/>
  <c r="L8" i="14"/>
  <c r="K8" i="14"/>
  <c r="J8" i="14"/>
  <c r="N7" i="14"/>
  <c r="M7" i="14"/>
  <c r="L7" i="14"/>
  <c r="K7" i="14"/>
  <c r="J7" i="14"/>
  <c r="N6" i="14"/>
  <c r="M6" i="14"/>
  <c r="L6" i="14"/>
  <c r="K6" i="14"/>
  <c r="J6" i="14"/>
  <c r="N5" i="14"/>
  <c r="M5" i="14"/>
  <c r="L5" i="14"/>
  <c r="K5" i="14"/>
  <c r="J5" i="14"/>
  <c r="N4" i="14"/>
  <c r="M4" i="14"/>
  <c r="L4" i="14"/>
  <c r="K4" i="14"/>
  <c r="J4" i="14"/>
  <c r="N3" i="14"/>
  <c r="M3" i="14"/>
  <c r="L3" i="14"/>
  <c r="K3" i="14"/>
  <c r="J3" i="14"/>
  <c r="N2" i="14"/>
  <c r="M2" i="14"/>
  <c r="L2" i="14"/>
  <c r="K2" i="14"/>
  <c r="J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  <c r="H3" i="14"/>
  <c r="H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I5" i="14"/>
  <c r="I4" i="14"/>
  <c r="I3" i="14"/>
  <c r="I2" i="14"/>
  <c r="A28" i="14" l="1"/>
  <c r="A12" i="14"/>
  <c r="A10" i="14"/>
  <c r="A8" i="14"/>
  <c r="A6" i="14"/>
  <c r="A4" i="14"/>
  <c r="A26" i="14"/>
  <c r="A11" i="14"/>
  <c r="A9" i="14"/>
  <c r="A7" i="14"/>
  <c r="A5" i="14"/>
  <c r="A3" i="14"/>
  <c r="A29" i="14"/>
  <c r="A27" i="14"/>
  <c r="A24" i="14"/>
  <c r="A25" i="14"/>
  <c r="A2" i="14"/>
  <c r="C26" i="14"/>
  <c r="C24" i="14"/>
  <c r="C11" i="14"/>
  <c r="C9" i="14"/>
  <c r="C7" i="14"/>
  <c r="C5" i="14"/>
  <c r="C3" i="14"/>
  <c r="C27" i="14"/>
  <c r="C29" i="14"/>
  <c r="C25" i="14"/>
  <c r="C28" i="14"/>
  <c r="C12" i="14"/>
  <c r="C10" i="14"/>
  <c r="C8" i="14"/>
  <c r="C6" i="14"/>
  <c r="C4" i="14"/>
  <c r="C2" i="14"/>
  <c r="B27" i="14"/>
  <c r="B29" i="14"/>
  <c r="B25" i="14"/>
  <c r="B26" i="14"/>
  <c r="B24" i="14"/>
  <c r="B11" i="14"/>
  <c r="B9" i="14"/>
  <c r="B7" i="14"/>
  <c r="B5" i="14"/>
  <c r="B3" i="14"/>
  <c r="B28" i="14"/>
  <c r="B12" i="14"/>
  <c r="B10" i="14"/>
  <c r="B8" i="14"/>
  <c r="B6" i="14"/>
  <c r="B4" i="14"/>
  <c r="B2" i="14"/>
  <c r="F27" i="14"/>
  <c r="F12" i="14"/>
  <c r="F10" i="14"/>
  <c r="F8" i="14"/>
  <c r="F6" i="14"/>
  <c r="F4" i="14"/>
  <c r="F2" i="14"/>
  <c r="F26" i="14"/>
  <c r="F24" i="14"/>
  <c r="F11" i="14"/>
  <c r="F9" i="14"/>
  <c r="F7" i="14"/>
  <c r="F5" i="14"/>
  <c r="F3" i="14"/>
  <c r="F29" i="14"/>
  <c r="F25" i="14"/>
  <c r="F28" i="14"/>
  <c r="F23" i="14"/>
  <c r="E23" i="14"/>
  <c r="D23" i="14"/>
  <c r="C23" i="14"/>
  <c r="B23" i="14"/>
  <c r="A23" i="14"/>
  <c r="F1" i="14"/>
  <c r="E1" i="14"/>
  <c r="D1" i="14"/>
  <c r="C1" i="14"/>
  <c r="A1" i="14"/>
  <c r="B1" i="14" l="1"/>
  <c r="J1" i="14"/>
  <c r="K1" i="14"/>
  <c r="L1" i="14"/>
  <c r="M1" i="14"/>
  <c r="N1" i="14"/>
  <c r="A1" i="9" l="1"/>
</calcChain>
</file>

<file path=xl/sharedStrings.xml><?xml version="1.0" encoding="utf-8"?>
<sst xmlns="http://schemas.openxmlformats.org/spreadsheetml/2006/main" count="65" uniqueCount="54">
  <si>
    <t>Question</t>
  </si>
  <si>
    <t>Le cours était bien structuré</t>
  </si>
  <si>
    <t>La matière a été enseignée de manière intéressante</t>
  </si>
  <si>
    <t>Le contenu (y compris les notions complexes) était compréhensible</t>
  </si>
  <si>
    <t>Le rythme était adapté au cours</t>
  </si>
  <si>
    <t>J'ai pu enrichir mes connaissances et ma réflexion</t>
  </si>
  <si>
    <t>J'ai pu prendre une part active au cours</t>
  </si>
  <si>
    <t>Le temps disponible était adapté aux objectifs du cours et de la formation</t>
  </si>
  <si>
    <t>Impression générale</t>
  </si>
  <si>
    <t>++</t>
  </si>
  <si>
    <t>+</t>
  </si>
  <si>
    <t>-</t>
  </si>
  <si>
    <t>--</t>
  </si>
  <si>
    <t>/</t>
  </si>
  <si>
    <t>Tout à fait vrai</t>
  </si>
  <si>
    <t>Plutôt vrai</t>
  </si>
  <si>
    <t>Plutôt faux</t>
  </si>
  <si>
    <t>Tout à fait faux</t>
  </si>
  <si>
    <t>Indécis</t>
  </si>
  <si>
    <t>a</t>
  </si>
  <si>
    <t>b</t>
  </si>
  <si>
    <t>c</t>
  </si>
  <si>
    <t>e</t>
  </si>
  <si>
    <t>f</t>
  </si>
  <si>
    <t>g</t>
  </si>
  <si>
    <t>h</t>
  </si>
  <si>
    <t>i</t>
  </si>
  <si>
    <t>j</t>
  </si>
  <si>
    <t>d</t>
  </si>
  <si>
    <t>J'ai acquis des outils supplémentaires pour ma pratique quotidienne</t>
  </si>
  <si>
    <t>Remarques, propositions, demandes d'améliorations, idées de cours complémentaires, etc.</t>
  </si>
  <si>
    <t>Les objectifs du cours étaient connus et ont été atteints</t>
  </si>
  <si>
    <t>L'enseignant possèdait bien la matière enseignée</t>
  </si>
  <si>
    <t>No</t>
  </si>
  <si>
    <t>Catégorie</t>
  </si>
  <si>
    <t>Catégories</t>
  </si>
  <si>
    <t>1-Didactique</t>
  </si>
  <si>
    <t>3-Animation</t>
  </si>
  <si>
    <t>4-Avis perso</t>
  </si>
  <si>
    <t>2-Andragogie</t>
  </si>
  <si>
    <t>Nb participants</t>
  </si>
  <si>
    <t>ID remarque</t>
  </si>
  <si>
    <t>5-Autre</t>
  </si>
  <si>
    <t>Date début cours</t>
  </si>
  <si>
    <t>Nom cours</t>
  </si>
  <si>
    <t>ID_eleve</t>
  </si>
  <si>
    <t>Données reportées automatiquement dans la feuille "questionnaire" de ce classeur …</t>
  </si>
  <si>
    <t>Données, à recopier, depuis le classeur de planification des cours à partir de l'onglet "inscriptions"  …</t>
  </si>
  <si>
    <t>Lieu formation</t>
  </si>
  <si>
    <t>Durée [H]</t>
  </si>
  <si>
    <t>ID cours</t>
  </si>
  <si>
    <t>ID_formateur1</t>
  </si>
  <si>
    <t>ID_formateur2</t>
  </si>
  <si>
    <t>NB eleves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</si>
</sst>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dddd\ d\ mmmm"/>
  </numFmts>
  <fonts count="24" x14ac:knownFonts="1">
    <font>
      <sz val="10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9"/>
      <name val="Trebuchet MS"/>
      <family val="2"/>
      <scheme val="minor"/>
    </font>
    <font>
      <sz val="10"/>
      <name val="Trebuchet MS"/>
      <family val="2"/>
      <scheme val="minor"/>
    </font>
    <font>
      <b/>
      <sz val="10"/>
      <name val="Trebuchet MS"/>
      <family val="2"/>
      <scheme val="minor"/>
    </font>
    <font>
      <b/>
      <sz val="18"/>
      <name val="Wingdings"/>
      <charset val="2"/>
    </font>
    <font>
      <sz val="11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2"/>
      <name val="Trebuchet MS"/>
      <family val="2"/>
      <scheme val="minor"/>
    </font>
    <font>
      <b/>
      <sz val="12"/>
      <name val="Trebuchet MS"/>
      <family val="2"/>
      <scheme val="minor"/>
    </font>
    <font>
      <sz val="14"/>
      <color theme="0"/>
      <name val="Trebuchet MS"/>
      <family val="2"/>
      <scheme val="minor"/>
    </font>
    <font>
      <sz val="14"/>
      <name val="Trebuchet MS"/>
      <family val="2"/>
      <scheme val="minor"/>
    </font>
    <font>
      <b/>
      <sz val="14"/>
      <name val="Trebuchet MS"/>
      <family val="2"/>
      <scheme val="minor"/>
    </font>
    <font>
      <b/>
      <sz val="18"/>
      <color theme="3"/>
      <name val="Trebuchet MS"/>
      <family val="2"/>
      <scheme val="major"/>
    </font>
    <font>
      <b/>
      <sz val="10"/>
      <color theme="0"/>
      <name val="Verdana"/>
      <family val="2"/>
    </font>
    <font>
      <b/>
      <sz val="10"/>
      <color theme="0"/>
      <name val="Trebuchet MS"/>
      <family val="2"/>
      <scheme val="minor"/>
    </font>
    <font>
      <sz val="10"/>
      <color theme="1"/>
      <name val="Trebuchet MS"/>
      <family val="2"/>
      <scheme val="minor"/>
    </font>
    <font>
      <b/>
      <sz val="18"/>
      <color theme="0"/>
      <name val="Trebuchet MS"/>
      <family val="2"/>
      <scheme val="minor"/>
    </font>
    <font>
      <b/>
      <u/>
      <sz val="10"/>
      <color rgb="FFFFC000"/>
      <name val="Trebuchet MS"/>
      <family val="2"/>
      <scheme val="minor"/>
    </font>
    <font>
      <sz val="10"/>
      <color theme="0"/>
      <name val="Trebuchet MS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FFFF00"/>
      </left>
      <right style="thin">
        <color theme="0"/>
      </right>
      <top style="double">
        <color rgb="FFFFFF0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double">
        <color rgb="FFFFFF00"/>
      </top>
      <bottom style="thick">
        <color theme="0"/>
      </bottom>
      <diagonal/>
    </border>
    <border>
      <left style="thin">
        <color theme="0"/>
      </left>
      <right style="double">
        <color rgb="FFFFFF00"/>
      </right>
      <top style="double">
        <color rgb="FFFFFF00"/>
      </top>
      <bottom style="thick">
        <color theme="0"/>
      </bottom>
      <diagonal/>
    </border>
    <border>
      <left style="double">
        <color rgb="FFFFFF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uble">
        <color rgb="FFFFFF00"/>
      </right>
      <top style="thin">
        <color theme="0"/>
      </top>
      <bottom style="thin">
        <color theme="0"/>
      </bottom>
      <diagonal/>
    </border>
    <border>
      <left style="double">
        <color rgb="FFFFFF00"/>
      </left>
      <right style="thin">
        <color theme="0"/>
      </right>
      <top style="thin">
        <color theme="0"/>
      </top>
      <bottom style="double">
        <color rgb="FFFFFF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double">
        <color rgb="FFFFFF00"/>
      </bottom>
      <diagonal/>
    </border>
    <border>
      <left style="thin">
        <color theme="0"/>
      </left>
      <right style="double">
        <color rgb="FFFFFF00"/>
      </right>
      <top style="thin">
        <color theme="0"/>
      </top>
      <bottom style="double">
        <color rgb="FFFFFF00"/>
      </bottom>
      <diagonal/>
    </border>
  </borders>
  <cellStyleXfs count="5">
    <xf numFmtId="0" fontId="0" fillId="0" borderId="0"/>
    <xf numFmtId="0" fontId="5" fillId="0" borderId="0"/>
    <xf numFmtId="0" fontId="9" fillId="2" borderId="4" applyFill="0">
      <alignment horizontal="center" vertical="center" wrapText="1"/>
      <protection locked="0"/>
    </xf>
    <xf numFmtId="0" fontId="4" fillId="9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43">
    <xf numFmtId="0" fontId="0" fillId="0" borderId="0" xfId="0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 vertical="center" shrinkToFit="1"/>
    </xf>
    <xf numFmtId="0" fontId="7" fillId="0" borderId="0" xfId="1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7" fillId="0" borderId="0" xfId="1" applyFont="1" applyAlignment="1">
      <alignment horizontal="center"/>
    </xf>
    <xf numFmtId="0" fontId="0" fillId="0" borderId="0" xfId="1" applyFont="1" applyAlignment="1">
      <alignment horizontal="center" wrapText="1"/>
    </xf>
    <xf numFmtId="0" fontId="7" fillId="0" borderId="0" xfId="1" applyFont="1" applyAlignment="1">
      <alignment horizontal="center" wrapText="1"/>
    </xf>
    <xf numFmtId="0" fontId="0" fillId="0" borderId="4" xfId="0" applyBorder="1" applyAlignment="1">
      <alignment vertical="center"/>
    </xf>
    <xf numFmtId="0" fontId="4" fillId="9" borderId="4" xfId="3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11" fillId="5" borderId="4" xfId="0" applyFont="1" applyFill="1" applyBorder="1" applyAlignment="1" applyProtection="1">
      <alignment horizontal="right" vertical="center"/>
    </xf>
    <xf numFmtId="0" fontId="11" fillId="5" borderId="4" xfId="0" applyFont="1" applyFill="1" applyBorder="1" applyAlignment="1" applyProtection="1">
      <alignment horizontal="right" vertical="center" wrapText="1"/>
    </xf>
    <xf numFmtId="0" fontId="15" fillId="0" borderId="0" xfId="0" applyFont="1" applyBorder="1" applyProtection="1"/>
    <xf numFmtId="0" fontId="15" fillId="0" borderId="0" xfId="0" applyFont="1" applyProtection="1"/>
    <xf numFmtId="0" fontId="14" fillId="0" borderId="0" xfId="0" applyFont="1" applyFill="1" applyBorder="1" applyAlignment="1" applyProtection="1">
      <alignment horizontal="right" vertical="center"/>
    </xf>
    <xf numFmtId="0" fontId="15" fillId="0" borderId="0" xfId="1" applyFont="1" applyProtection="1"/>
    <xf numFmtId="0" fontId="15" fillId="2" borderId="4" xfId="0" quotePrefix="1" applyFont="1" applyFill="1" applyBorder="1" applyAlignment="1">
      <alignment horizontal="center" vertical="center" textRotation="90" wrapText="1"/>
    </xf>
    <xf numFmtId="0" fontId="15" fillId="6" borderId="4" xfId="0" quotePrefix="1" applyFont="1" applyFill="1" applyBorder="1" applyAlignment="1">
      <alignment horizontal="center" vertical="center" textRotation="90" wrapText="1"/>
    </xf>
    <xf numFmtId="0" fontId="15" fillId="3" borderId="4" xfId="0" quotePrefix="1" applyFont="1" applyFill="1" applyBorder="1" applyAlignment="1">
      <alignment horizontal="center" vertical="center" textRotation="90" wrapText="1"/>
    </xf>
    <xf numFmtId="0" fontId="15" fillId="8" borderId="4" xfId="0" quotePrefix="1" applyFont="1" applyFill="1" applyBorder="1" applyAlignment="1">
      <alignment horizontal="center" vertical="center" textRotation="90" wrapText="1"/>
    </xf>
    <xf numFmtId="0" fontId="15" fillId="7" borderId="8" xfId="0" applyFont="1" applyFill="1" applyBorder="1" applyAlignment="1">
      <alignment horizontal="center" vertical="center" textRotation="90" wrapText="1"/>
    </xf>
    <xf numFmtId="0" fontId="15" fillId="2" borderId="4" xfId="0" quotePrefix="1" applyFont="1" applyFill="1" applyBorder="1" applyAlignment="1">
      <alignment horizontal="center" vertical="center" wrapText="1"/>
    </xf>
    <xf numFmtId="0" fontId="15" fillId="6" borderId="4" xfId="0" quotePrefix="1" applyFont="1" applyFill="1" applyBorder="1" applyAlignment="1">
      <alignment horizontal="center" vertical="center" wrapText="1"/>
    </xf>
    <xf numFmtId="0" fontId="15" fillId="3" borderId="4" xfId="0" quotePrefix="1" applyFont="1" applyFill="1" applyBorder="1" applyAlignment="1">
      <alignment horizontal="center" vertical="center" wrapText="1"/>
    </xf>
    <xf numFmtId="0" fontId="15" fillId="8" borderId="4" xfId="0" quotePrefix="1" applyFont="1" applyFill="1" applyBorder="1" applyAlignment="1">
      <alignment horizontal="center" vertical="center" wrapText="1"/>
    </xf>
    <xf numFmtId="0" fontId="15" fillId="7" borderId="8" xfId="0" quotePrefix="1" applyFont="1" applyFill="1" applyBorder="1" applyAlignment="1">
      <alignment horizontal="center" vertical="center" wrapText="1"/>
    </xf>
    <xf numFmtId="0" fontId="15" fillId="2" borderId="4" xfId="1" applyFont="1" applyFill="1" applyBorder="1" applyAlignment="1" applyProtection="1">
      <alignment horizontal="center" vertical="center" wrapText="1"/>
      <protection locked="0"/>
    </xf>
    <xf numFmtId="0" fontId="15" fillId="6" borderId="4" xfId="1" applyFont="1" applyFill="1" applyBorder="1" applyAlignment="1" applyProtection="1">
      <alignment horizontal="center" vertical="center" wrapText="1"/>
      <protection locked="0"/>
    </xf>
    <xf numFmtId="0" fontId="15" fillId="3" borderId="4" xfId="1" applyFont="1" applyFill="1" applyBorder="1" applyAlignment="1" applyProtection="1">
      <alignment horizontal="center" vertical="center" wrapText="1"/>
      <protection locked="0"/>
    </xf>
    <xf numFmtId="0" fontId="15" fillId="8" borderId="5" xfId="1" applyFont="1" applyFill="1" applyBorder="1" applyAlignment="1" applyProtection="1">
      <alignment horizontal="center" vertical="center" wrapText="1"/>
      <protection locked="0"/>
    </xf>
    <xf numFmtId="0" fontId="15" fillId="7" borderId="7" xfId="1" applyFont="1" applyFill="1" applyBorder="1" applyAlignment="1" applyProtection="1">
      <alignment horizontal="center" vertical="center" wrapText="1"/>
      <protection locked="0"/>
    </xf>
    <xf numFmtId="0" fontId="15" fillId="0" borderId="0" xfId="1" applyFont="1" applyAlignment="1" applyProtection="1"/>
    <xf numFmtId="49" fontId="4" fillId="9" borderId="4" xfId="3" applyNumberFormat="1" applyBorder="1" applyAlignment="1">
      <alignment horizontal="center" vertical="center" wrapText="1"/>
    </xf>
    <xf numFmtId="49" fontId="0" fillId="0" borderId="0" xfId="0" applyNumberFormat="1"/>
    <xf numFmtId="1" fontId="4" fillId="9" borderId="4" xfId="3" applyNumberFormat="1" applyBorder="1" applyAlignment="1">
      <alignment horizontal="center" vertical="center" wrapText="1"/>
    </xf>
    <xf numFmtId="0" fontId="3" fillId="9" borderId="4" xfId="3" applyFont="1" applyBorder="1" applyAlignment="1">
      <alignment horizontal="center" vertical="center" wrapText="1"/>
    </xf>
    <xf numFmtId="0" fontId="0" fillId="0" borderId="4" xfId="0" applyBorder="1" applyAlignment="1">
      <alignment horizontal="right" vertical="center"/>
    </xf>
    <xf numFmtId="164" fontId="15" fillId="0" borderId="0" xfId="0" applyNumberFormat="1" applyFont="1" applyBorder="1" applyAlignment="1" applyProtection="1">
      <alignment vertical="center" shrinkToFit="1"/>
    </xf>
    <xf numFmtId="0" fontId="15" fillId="0" borderId="0" xfId="0" applyFont="1" applyBorder="1" applyAlignment="1" applyProtection="1">
      <alignment horizontal="left" vertical="center" shrinkToFit="1"/>
    </xf>
    <xf numFmtId="0" fontId="2" fillId="9" borderId="4" xfId="3" applyFont="1" applyBorder="1" applyAlignment="1">
      <alignment horizontal="center" vertical="center" wrapText="1"/>
    </xf>
    <xf numFmtId="164" fontId="0" fillId="10" borderId="0" xfId="0" applyNumberFormat="1" applyFill="1"/>
    <xf numFmtId="49" fontId="0" fillId="10" borderId="0" xfId="0" applyNumberFormat="1" applyFill="1"/>
    <xf numFmtId="1" fontId="0" fillId="10" borderId="0" xfId="0" applyNumberFormat="1" applyFill="1"/>
    <xf numFmtId="0" fontId="0" fillId="10" borderId="0" xfId="0" applyFill="1"/>
    <xf numFmtId="0" fontId="1" fillId="9" borderId="4" xfId="3" applyFont="1" applyBorder="1" applyAlignment="1">
      <alignment horizontal="center" vertical="center" wrapText="1"/>
    </xf>
    <xf numFmtId="0" fontId="0" fillId="0" borderId="0" xfId="0" applyProtection="1"/>
    <xf numFmtId="0" fontId="18" fillId="11" borderId="32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49" fontId="0" fillId="0" borderId="4" xfId="0" applyNumberFormat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left" vertical="center" shrinkToFit="1"/>
    </xf>
    <xf numFmtId="14" fontId="12" fillId="7" borderId="4" xfId="0" applyNumberFormat="1" applyFont="1" applyFill="1" applyBorder="1" applyAlignment="1" applyProtection="1">
      <alignment horizontal="left" vertical="center"/>
    </xf>
    <xf numFmtId="1" fontId="12" fillId="7" borderId="4" xfId="0" applyNumberFormat="1" applyFont="1" applyFill="1" applyBorder="1" applyAlignment="1" applyProtection="1">
      <alignment horizontal="left" vertical="center" shrinkToFit="1"/>
    </xf>
    <xf numFmtId="0" fontId="15" fillId="0" borderId="9" xfId="1" applyFont="1" applyFill="1" applyBorder="1" applyAlignment="1" applyProtection="1">
      <alignment horizontal="center" vertical="center"/>
      <protection locked="0"/>
    </xf>
    <xf numFmtId="0" fontId="15" fillId="0" borderId="9" xfId="1" applyFont="1" applyFill="1" applyBorder="1" applyAlignment="1" applyProtection="1">
      <alignment horizontal="center" vertical="center" wrapText="1"/>
      <protection locked="0"/>
    </xf>
    <xf numFmtId="0" fontId="15" fillId="0" borderId="20" xfId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center" vertical="center" shrinkToFit="1"/>
    </xf>
    <xf numFmtId="1" fontId="12" fillId="0" borderId="0" xfId="0" applyNumberFormat="1" applyFont="1" applyBorder="1" applyAlignment="1" applyProtection="1">
      <alignment horizontal="left" vertical="center" shrinkToFit="1"/>
      <protection locked="0"/>
    </xf>
    <xf numFmtId="0" fontId="15" fillId="2" borderId="10" xfId="1" applyFont="1" applyFill="1" applyBorder="1" applyAlignment="1" applyProtection="1">
      <alignment horizontal="center" vertical="center" wrapText="1"/>
      <protection locked="0"/>
    </xf>
    <xf numFmtId="0" fontId="15" fillId="6" borderId="10" xfId="1" applyFont="1" applyFill="1" applyBorder="1" applyAlignment="1" applyProtection="1">
      <alignment horizontal="center" vertical="center" wrapText="1"/>
      <protection locked="0"/>
    </xf>
    <xf numFmtId="0" fontId="15" fillId="3" borderId="10" xfId="1" applyFont="1" applyFill="1" applyBorder="1" applyAlignment="1" applyProtection="1">
      <alignment horizontal="center" vertical="center" wrapText="1"/>
      <protection locked="0"/>
    </xf>
    <xf numFmtId="0" fontId="15" fillId="8" borderId="34" xfId="1" applyFont="1" applyFill="1" applyBorder="1" applyAlignment="1" applyProtection="1">
      <alignment horizontal="center" vertical="center" wrapText="1"/>
      <protection locked="0"/>
    </xf>
    <xf numFmtId="0" fontId="15" fillId="7" borderId="19" xfId="1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>
      <alignment horizontal="right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165" fontId="0" fillId="0" borderId="0" xfId="0" applyNumberFormat="1" applyAlignment="1" applyProtection="1">
      <alignment vertical="center" wrapText="1"/>
    </xf>
    <xf numFmtId="1" fontId="0" fillId="0" borderId="0" xfId="0" applyNumberFormat="1" applyAlignment="1" applyProtection="1">
      <alignment vertical="center" wrapText="1"/>
    </xf>
    <xf numFmtId="0" fontId="0" fillId="0" borderId="4" xfId="0" applyBorder="1" applyAlignment="1">
      <alignment horizontal="left" vertical="center" wrapText="1"/>
    </xf>
    <xf numFmtId="164" fontId="0" fillId="0" borderId="0" xfId="0" applyNumberFormat="1" applyAlignment="1" applyProtection="1">
      <alignment vertical="center" wrapText="1"/>
    </xf>
    <xf numFmtId="14" fontId="0" fillId="0" borderId="0" xfId="0" applyNumberFormat="1" applyProtection="1"/>
    <xf numFmtId="0" fontId="20" fillId="12" borderId="33" xfId="0" applyFont="1" applyFill="1" applyBorder="1" applyAlignment="1" applyProtection="1">
      <alignment vertical="center" wrapText="1"/>
      <protection locked="0"/>
    </xf>
    <xf numFmtId="164" fontId="20" fillId="13" borderId="33" xfId="0" applyNumberFormat="1" applyFont="1" applyFill="1" applyBorder="1" applyAlignment="1" applyProtection="1">
      <alignment vertical="center" wrapText="1"/>
      <protection locked="0"/>
    </xf>
    <xf numFmtId="0" fontId="20" fillId="13" borderId="33" xfId="0" applyFont="1" applyFill="1" applyBorder="1" applyAlignment="1" applyProtection="1">
      <alignment vertical="center" wrapText="1"/>
      <protection locked="0"/>
    </xf>
    <xf numFmtId="0" fontId="20" fillId="13" borderId="33" xfId="0" applyNumberFormat="1" applyFont="1" applyFill="1" applyBorder="1" applyAlignment="1" applyProtection="1">
      <alignment vertical="center" wrapText="1"/>
      <protection locked="0"/>
    </xf>
    <xf numFmtId="0" fontId="11" fillId="5" borderId="5" xfId="0" applyFont="1" applyFill="1" applyBorder="1" applyAlignment="1" applyProtection="1">
      <alignment horizontal="right" vertical="center"/>
    </xf>
    <xf numFmtId="0" fontId="13" fillId="7" borderId="5" xfId="1" applyFont="1" applyFill="1" applyBorder="1" applyAlignment="1" applyProtection="1">
      <alignment vertical="center" wrapText="1"/>
    </xf>
    <xf numFmtId="0" fontId="13" fillId="7" borderId="3" xfId="1" applyFont="1" applyFill="1" applyBorder="1" applyAlignment="1" applyProtection="1">
      <alignment vertical="center" wrapText="1"/>
    </xf>
    <xf numFmtId="0" fontId="13" fillId="7" borderId="9" xfId="1" applyFont="1" applyFill="1" applyBorder="1" applyAlignment="1" applyProtection="1">
      <alignment vertical="center" wrapText="1"/>
    </xf>
    <xf numFmtId="0" fontId="15" fillId="0" borderId="4" xfId="1" applyFont="1" applyFill="1" applyBorder="1" applyAlignment="1" applyProtection="1">
      <alignment horizontal="center" vertical="center" wrapText="1"/>
      <protection locked="0"/>
    </xf>
    <xf numFmtId="0" fontId="15" fillId="0" borderId="5" xfId="1" applyFont="1" applyFill="1" applyBorder="1" applyAlignment="1" applyProtection="1">
      <alignment horizontal="center" vertical="center" wrapText="1"/>
      <protection locked="0"/>
    </xf>
    <xf numFmtId="0" fontId="15" fillId="0" borderId="7" xfId="1" applyFont="1" applyFill="1" applyBorder="1" applyAlignment="1" applyProtection="1">
      <alignment horizontal="center" vertical="center" wrapText="1"/>
      <protection locked="0"/>
    </xf>
    <xf numFmtId="0" fontId="15" fillId="7" borderId="6" xfId="1" applyFont="1" applyFill="1" applyBorder="1" applyAlignment="1" applyProtection="1">
      <alignment vertical="center" wrapText="1"/>
    </xf>
    <xf numFmtId="0" fontId="15" fillId="7" borderId="1" xfId="1" applyFont="1" applyFill="1" applyBorder="1" applyAlignment="1" applyProtection="1">
      <alignment vertical="center" wrapText="1"/>
    </xf>
    <xf numFmtId="0" fontId="15" fillId="7" borderId="2" xfId="1" applyFont="1" applyFill="1" applyBorder="1" applyAlignment="1" applyProtection="1">
      <alignment vertical="center" wrapText="1"/>
    </xf>
    <xf numFmtId="0" fontId="16" fillId="7" borderId="21" xfId="1" applyFont="1" applyFill="1" applyBorder="1" applyAlignment="1" applyProtection="1">
      <alignment horizontal="center" vertical="center" wrapText="1"/>
    </xf>
    <xf numFmtId="0" fontId="16" fillId="7" borderId="27" xfId="1" applyFont="1" applyFill="1" applyBorder="1" applyAlignment="1" applyProtection="1">
      <alignment horizontal="center" vertical="center" wrapText="1"/>
    </xf>
    <xf numFmtId="0" fontId="16" fillId="7" borderId="11" xfId="1" applyFont="1" applyFill="1" applyBorder="1" applyAlignment="1" applyProtection="1">
      <alignment horizontal="left" vertical="center" indent="18"/>
    </xf>
    <xf numFmtId="0" fontId="16" fillId="7" borderId="11" xfId="1" applyFont="1" applyFill="1" applyBorder="1" applyAlignment="1" applyProtection="1">
      <alignment vertical="center" wrapText="1"/>
    </xf>
    <xf numFmtId="0" fontId="16" fillId="7" borderId="12" xfId="1" applyFont="1" applyFill="1" applyBorder="1" applyAlignment="1" applyProtection="1">
      <alignment vertical="center" wrapText="1"/>
    </xf>
    <xf numFmtId="0" fontId="15" fillId="7" borderId="22" xfId="1" applyFont="1" applyFill="1" applyBorder="1" applyAlignment="1" applyProtection="1">
      <alignment horizontal="center" vertical="center" wrapText="1"/>
    </xf>
    <xf numFmtId="0" fontId="15" fillId="7" borderId="28" xfId="1" applyFont="1" applyFill="1" applyBorder="1" applyAlignment="1" applyProtection="1">
      <alignment horizontal="center" vertical="center" wrapText="1"/>
    </xf>
    <xf numFmtId="0" fontId="15" fillId="7" borderId="23" xfId="1" applyFont="1" applyFill="1" applyBorder="1" applyAlignment="1" applyProtection="1">
      <alignment vertical="center"/>
    </xf>
    <xf numFmtId="0" fontId="15" fillId="7" borderId="3" xfId="1" applyFont="1" applyFill="1" applyBorder="1" applyAlignment="1" applyProtection="1">
      <alignment vertical="center"/>
    </xf>
    <xf numFmtId="0" fontId="15" fillId="7" borderId="9" xfId="1" applyFont="1" applyFill="1" applyBorder="1" applyAlignment="1" applyProtection="1">
      <alignment vertical="center"/>
    </xf>
    <xf numFmtId="0" fontId="15" fillId="7" borderId="24" xfId="1" applyFont="1" applyFill="1" applyBorder="1" applyAlignment="1" applyProtection="1">
      <alignment horizontal="center" vertical="center" wrapText="1"/>
    </xf>
    <xf numFmtId="0" fontId="15" fillId="7" borderId="29" xfId="1" applyFont="1" applyFill="1" applyBorder="1" applyAlignment="1" applyProtection="1">
      <alignment horizontal="center" vertical="center" wrapText="1"/>
    </xf>
    <xf numFmtId="0" fontId="15" fillId="7" borderId="25" xfId="1" applyFont="1" applyFill="1" applyBorder="1" applyAlignment="1" applyProtection="1">
      <alignment horizontal="center" vertical="center" wrapText="1"/>
    </xf>
    <xf numFmtId="0" fontId="15" fillId="7" borderId="30" xfId="1" applyFont="1" applyFill="1" applyBorder="1" applyAlignment="1" applyProtection="1">
      <alignment horizontal="center" vertical="center" wrapText="1"/>
    </xf>
    <xf numFmtId="0" fontId="15" fillId="7" borderId="26" xfId="1" applyFont="1" applyFill="1" applyBorder="1" applyAlignment="1" applyProtection="1">
      <alignment vertical="center"/>
    </xf>
    <xf numFmtId="0" fontId="15" fillId="7" borderId="31" xfId="1" applyFont="1" applyFill="1" applyBorder="1" applyAlignment="1" applyProtection="1">
      <alignment vertical="center"/>
    </xf>
    <xf numFmtId="0" fontId="15" fillId="7" borderId="20" xfId="1" applyFont="1" applyFill="1" applyBorder="1" applyAlignment="1" applyProtection="1">
      <alignment vertical="center"/>
    </xf>
    <xf numFmtId="0" fontId="15" fillId="7" borderId="13" xfId="1" applyFont="1" applyFill="1" applyBorder="1" applyAlignment="1" applyProtection="1">
      <alignment horizontal="left" vertical="center" indent="15"/>
    </xf>
    <xf numFmtId="0" fontId="15" fillId="7" borderId="14" xfId="1" applyFont="1" applyFill="1" applyBorder="1" applyAlignment="1" applyProtection="1">
      <alignment horizontal="left" vertical="center" indent="2"/>
    </xf>
    <xf numFmtId="0" fontId="15" fillId="7" borderId="14" xfId="1" applyFont="1" applyFill="1" applyBorder="1" applyAlignment="1" applyProtection="1">
      <alignment horizontal="right" vertical="center" wrapText="1"/>
    </xf>
    <xf numFmtId="0" fontId="15" fillId="7" borderId="15" xfId="1" applyFont="1" applyFill="1" applyBorder="1" applyAlignment="1" applyProtection="1">
      <alignment horizontal="right" vertical="center" wrapText="1"/>
    </xf>
    <xf numFmtId="0" fontId="16" fillId="7" borderId="17" xfId="1" applyFont="1" applyFill="1" applyBorder="1" applyAlignment="1" applyProtection="1">
      <alignment horizontal="right" vertical="center"/>
    </xf>
    <xf numFmtId="0" fontId="16" fillId="7" borderId="17" xfId="1" applyFont="1" applyFill="1" applyBorder="1" applyAlignment="1" applyProtection="1">
      <alignment horizontal="right" vertical="center" wrapText="1"/>
    </xf>
    <xf numFmtId="0" fontId="16" fillId="7" borderId="18" xfId="1" applyFont="1" applyFill="1" applyBorder="1" applyAlignment="1" applyProtection="1">
      <alignment horizontal="right" vertical="center"/>
    </xf>
    <xf numFmtId="0" fontId="15" fillId="7" borderId="16" xfId="1" applyFont="1" applyFill="1" applyBorder="1" applyAlignment="1" applyProtection="1">
      <alignment horizontal="right" vertical="center" wrapText="1"/>
    </xf>
    <xf numFmtId="164" fontId="21" fillId="11" borderId="35" xfId="0" applyNumberFormat="1" applyFont="1" applyFill="1" applyBorder="1" applyAlignment="1">
      <alignment vertical="center" wrapText="1"/>
    </xf>
    <xf numFmtId="0" fontId="22" fillId="11" borderId="36" xfId="0" applyFont="1" applyFill="1" applyBorder="1" applyAlignment="1">
      <alignment horizontal="center" vertical="center" wrapText="1"/>
    </xf>
    <xf numFmtId="164" fontId="22" fillId="11" borderId="36" xfId="0" applyNumberFormat="1" applyFont="1" applyFill="1" applyBorder="1" applyAlignment="1">
      <alignment horizontal="center" vertical="center" wrapText="1"/>
    </xf>
    <xf numFmtId="0" fontId="21" fillId="11" borderId="36" xfId="0" applyFont="1" applyFill="1" applyBorder="1" applyAlignment="1">
      <alignment vertical="center" wrapText="1"/>
    </xf>
    <xf numFmtId="0" fontId="22" fillId="11" borderId="37" xfId="0" applyFont="1" applyFill="1" applyBorder="1" applyAlignment="1">
      <alignment horizontal="center" vertical="center" wrapText="1"/>
    </xf>
    <xf numFmtId="1" fontId="19" fillId="11" borderId="38" xfId="0" applyNumberFormat="1" applyFont="1" applyFill="1" applyBorder="1" applyAlignment="1" applyProtection="1">
      <alignment vertical="center" wrapText="1"/>
      <protection locked="0"/>
    </xf>
    <xf numFmtId="164" fontId="20" fillId="12" borderId="33" xfId="0" applyNumberFormat="1" applyFont="1" applyFill="1" applyBorder="1" applyAlignment="1" applyProtection="1">
      <alignment vertical="center" wrapText="1"/>
      <protection locked="0"/>
    </xf>
    <xf numFmtId="0" fontId="23" fillId="14" borderId="33" xfId="0" applyFont="1" applyFill="1" applyBorder="1" applyAlignment="1" applyProtection="1">
      <alignment horizontal="right" vertical="center" wrapText="1"/>
      <protection locked="0"/>
    </xf>
    <xf numFmtId="0" fontId="20" fillId="12" borderId="39" xfId="0" applyFont="1" applyFill="1" applyBorder="1" applyAlignment="1" applyProtection="1">
      <alignment vertical="center" wrapText="1"/>
      <protection locked="0"/>
    </xf>
    <xf numFmtId="0" fontId="20" fillId="13" borderId="39" xfId="0" applyNumberFormat="1" applyFont="1" applyFill="1" applyBorder="1" applyAlignment="1" applyProtection="1">
      <alignment vertical="center" wrapText="1"/>
      <protection locked="0"/>
    </xf>
    <xf numFmtId="1" fontId="19" fillId="11" borderId="40" xfId="0" applyNumberFormat="1" applyFont="1" applyFill="1" applyBorder="1" applyAlignment="1" applyProtection="1">
      <alignment vertical="center" wrapText="1"/>
      <protection locked="0"/>
    </xf>
    <xf numFmtId="164" fontId="20" fillId="13" borderId="41" xfId="0" applyNumberFormat="1" applyFont="1" applyFill="1" applyBorder="1" applyAlignment="1" applyProtection="1">
      <alignment vertical="center" wrapText="1"/>
      <protection locked="0"/>
    </xf>
    <xf numFmtId="0" fontId="20" fillId="13" borderId="41" xfId="0" applyFont="1" applyFill="1" applyBorder="1" applyAlignment="1" applyProtection="1">
      <alignment vertical="center" wrapText="1"/>
      <protection locked="0"/>
    </xf>
    <xf numFmtId="0" fontId="23" fillId="14" borderId="41" xfId="0" applyFont="1" applyFill="1" applyBorder="1" applyAlignment="1" applyProtection="1">
      <alignment horizontal="right" vertical="center" wrapText="1"/>
      <protection locked="0"/>
    </xf>
    <xf numFmtId="0" fontId="20" fillId="13" borderId="41" xfId="0" applyNumberFormat="1" applyFont="1" applyFill="1" applyBorder="1" applyAlignment="1" applyProtection="1">
      <alignment vertical="center" wrapText="1"/>
      <protection locked="0"/>
    </xf>
    <xf numFmtId="0" fontId="20" fillId="13" borderId="42" xfId="0" applyNumberFormat="1" applyFont="1" applyFill="1" applyBorder="1" applyAlignment="1" applyProtection="1">
      <alignment vertical="center" wrapText="1"/>
      <protection locked="0"/>
    </xf>
    <xf numFmtId="0" fontId="17" fillId="0" borderId="0" xfId="4" applyAlignment="1" applyProtection="1">
      <alignment horizontal="center" vertical="center"/>
    </xf>
    <xf numFmtId="0" fontId="17" fillId="0" borderId="0" xfId="4" applyAlignment="1" applyProtection="1">
      <alignment horizontal="center" vertical="center" wrapText="1"/>
    </xf>
    <xf numFmtId="0" fontId="10" fillId="4" borderId="4" xfId="1" applyFont="1" applyFill="1" applyBorder="1" applyAlignment="1" applyProtection="1">
      <alignment horizontal="left" vertical="center" wrapText="1"/>
      <protection locked="0"/>
    </xf>
    <xf numFmtId="0" fontId="10" fillId="4" borderId="7" xfId="1" applyFont="1" applyFill="1" applyBorder="1" applyAlignment="1" applyProtection="1">
      <alignment horizontal="left" vertical="center" wrapText="1"/>
      <protection locked="0"/>
    </xf>
    <xf numFmtId="0" fontId="10" fillId="4" borderId="10" xfId="1" applyFont="1" applyFill="1" applyBorder="1" applyAlignment="1" applyProtection="1">
      <alignment horizontal="left" vertical="center" wrapText="1"/>
      <protection locked="0"/>
    </xf>
    <xf numFmtId="0" fontId="10" fillId="4" borderId="19" xfId="1" applyFont="1" applyFill="1" applyBorder="1" applyAlignment="1" applyProtection="1">
      <alignment horizontal="left" vertical="center" wrapText="1"/>
      <protection locked="0"/>
    </xf>
    <xf numFmtId="14" fontId="6" fillId="0" borderId="0" xfId="1" applyNumberFormat="1" applyFont="1" applyAlignment="1">
      <alignment horizontal="left" shrinkToFit="1"/>
    </xf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 shrinkToFit="1"/>
    </xf>
  </cellXfs>
  <cellStyles count="5">
    <cellStyle name="20 % - Accent1" xfId="3" builtinId="30"/>
    <cellStyle name="Normal" xfId="0" builtinId="0" customBuiltin="1"/>
    <cellStyle name="Normal 2" xfId="1"/>
    <cellStyle name="smiley" xfId="2"/>
    <cellStyle name="Titre" xfId="4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questionnaire!$C$6</c:f>
              <c:strCache>
                <c:ptCount val="1"/>
                <c:pt idx="0">
                  <c:v>Les objectifs du cours étaient connus et ont été atteints</c:v>
                </c:pt>
              </c:strCache>
            </c:strRef>
          </c:tx>
          <c:explosion val="25"/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questionnaire!$G$6:$K$6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zero"/>
    <c:showDLblsOverMax val="0"/>
  </c:chart>
  <c:printSettings>
    <c:headerFooter alignWithMargins="0"/>
    <c:pageMargins b="0.98425196899999956" l="0.78740157499999996" r="0.78740157499999996" t="0.98425196899999956" header="0.49212598450000156" footer="0.49212598450000156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questionnaire!$C$8</c:f>
              <c:strCache>
                <c:ptCount val="1"/>
                <c:pt idx="0">
                  <c:v>Le contenu (y compris les notions complexes) était compréhensible</c:v>
                </c:pt>
              </c:strCache>
            </c:strRef>
          </c:tx>
          <c:explosion val="25"/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questionnaire!$G$8:$K$8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zero"/>
    <c:showDLblsOverMax val="0"/>
  </c:chart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questionnaire!$C$7</c:f>
              <c:strCache>
                <c:ptCount val="1"/>
                <c:pt idx="0">
                  <c:v>Le cours était bien structuré</c:v>
                </c:pt>
              </c:strCache>
            </c:strRef>
          </c:tx>
          <c:explosion val="25"/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questionnaire!$G$7:$K$7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zero"/>
    <c:showDLblsOverMax val="0"/>
  </c:chart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questionnaire!$C$9</c:f>
              <c:strCache>
                <c:ptCount val="1"/>
                <c:pt idx="0">
                  <c:v>La matière a été enseignée de manière intéressante</c:v>
                </c:pt>
              </c:strCache>
            </c:strRef>
          </c:tx>
          <c:explosion val="25"/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questionnaire!$G$9:$K$9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zero"/>
    <c:showDLblsOverMax val="0"/>
  </c:chart>
  <c:printSettings>
    <c:headerFooter alignWithMargins="0"/>
    <c:pageMargins b="0.98425196899999956" l="0.78740157499999996" r="0.78740157499999996" t="0.98425196899999956" header="0.49212598450000156" footer="0.4921259845000015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questionnaire!$C$10</c:f>
              <c:strCache>
                <c:ptCount val="1"/>
                <c:pt idx="0">
                  <c:v>Le rythme était adapté au cours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questionnaire!$G$10:$K$10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questionnaire!$C$11</c:f>
              <c:strCache>
                <c:ptCount val="1"/>
                <c:pt idx="0">
                  <c:v>Le temps disponible était adapté aux objectifs du cours et de la formation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questionnaire!$G$11:$K$11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questionnaire!$C$12</c:f>
              <c:strCache>
                <c:ptCount val="1"/>
                <c:pt idx="0">
                  <c:v>L'enseignant possèdait bien la matière enseignée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questionnaire!$G$12:$K$12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questionnaire!$C$13</c:f>
              <c:strCache>
                <c:ptCount val="1"/>
                <c:pt idx="0">
                  <c:v>J'ai pu enrichir mes connaissances et ma réflexion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questionnaire!$G$13:$K$13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questionnaire!$C$14</c:f>
              <c:strCache>
                <c:ptCount val="1"/>
                <c:pt idx="0">
                  <c:v>J'ai acquis des outils supplémentaires pour ma pratique quotidienne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questionnaire!$G$14:$K$14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questionnaire!$C$15</c:f>
              <c:strCache>
                <c:ptCount val="1"/>
                <c:pt idx="0">
                  <c:v>J'ai pu prendre une part active au cours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questionnaire!$G$15:$K$15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questionnaire!$C$16</c:f>
              <c:strCache>
                <c:ptCount val="1"/>
                <c:pt idx="0">
                  <c:v>Impression générale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questionnaire!$G$4:$K$4</c:f>
              <c:strCache>
                <c:ptCount val="5"/>
                <c:pt idx="0">
                  <c:v>Tout à fait vrai</c:v>
                </c:pt>
                <c:pt idx="1">
                  <c:v>Plutôt vrai</c:v>
                </c:pt>
                <c:pt idx="2">
                  <c:v>Plutôt faux</c:v>
                </c:pt>
                <c:pt idx="3">
                  <c:v>Tout à fait faux</c:v>
                </c:pt>
                <c:pt idx="4">
                  <c:v>Indécis</c:v>
                </c:pt>
              </c:strCache>
            </c:strRef>
          </c:cat>
          <c:val>
            <c:numRef>
              <c:f>questionnaire!$G$16:$K$16</c:f>
              <c:numCache>
                <c:formatCode>General</c:formatCode>
                <c:ptCount val="5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>
            <a:defRPr baseline="0">
              <a:latin typeface="+mn-lt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3</xdr:row>
      <xdr:rowOff>7619</xdr:rowOff>
    </xdr:from>
    <xdr:to>
      <xdr:col>0</xdr:col>
      <xdr:colOff>4695240</xdr:colOff>
      <xdr:row>18</xdr:row>
      <xdr:rowOff>104662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</xdr:colOff>
      <xdr:row>37</xdr:row>
      <xdr:rowOff>17616</xdr:rowOff>
    </xdr:from>
    <xdr:to>
      <xdr:col>0</xdr:col>
      <xdr:colOff>4687620</xdr:colOff>
      <xdr:row>52</xdr:row>
      <xdr:rowOff>112009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</xdr:colOff>
      <xdr:row>19</xdr:row>
      <xdr:rowOff>172896</xdr:rowOff>
    </xdr:from>
    <xdr:to>
      <xdr:col>0</xdr:col>
      <xdr:colOff>4687620</xdr:colOff>
      <xdr:row>35</xdr:row>
      <xdr:rowOff>87059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</xdr:colOff>
      <xdr:row>53</xdr:row>
      <xdr:rowOff>172657</xdr:rowOff>
    </xdr:from>
    <xdr:to>
      <xdr:col>0</xdr:col>
      <xdr:colOff>4695240</xdr:colOff>
      <xdr:row>69</xdr:row>
      <xdr:rowOff>86820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71</xdr:row>
      <xdr:rowOff>1361</xdr:rowOff>
    </xdr:from>
    <xdr:to>
      <xdr:col>0</xdr:col>
      <xdr:colOff>4680000</xdr:colOff>
      <xdr:row>86</xdr:row>
      <xdr:rowOff>121344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10773</xdr:rowOff>
    </xdr:from>
    <xdr:to>
      <xdr:col>0</xdr:col>
      <xdr:colOff>4680000</xdr:colOff>
      <xdr:row>103</xdr:row>
      <xdr:rowOff>131808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15240</xdr:colOff>
      <xdr:row>105</xdr:row>
      <xdr:rowOff>21021</xdr:rowOff>
    </xdr:from>
    <xdr:to>
      <xdr:col>0</xdr:col>
      <xdr:colOff>4695240</xdr:colOff>
      <xdr:row>120</xdr:row>
      <xdr:rowOff>142055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7620</xdr:colOff>
      <xdr:row>122</xdr:row>
      <xdr:rowOff>15240</xdr:rowOff>
    </xdr:from>
    <xdr:to>
      <xdr:col>0</xdr:col>
      <xdr:colOff>4687620</xdr:colOff>
      <xdr:row>137</xdr:row>
      <xdr:rowOff>136275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138</xdr:row>
      <xdr:rowOff>167640</xdr:rowOff>
    </xdr:from>
    <xdr:to>
      <xdr:col>0</xdr:col>
      <xdr:colOff>4680000</xdr:colOff>
      <xdr:row>154</xdr:row>
      <xdr:rowOff>105795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156</xdr:row>
      <xdr:rowOff>0</xdr:rowOff>
    </xdr:from>
    <xdr:to>
      <xdr:col>0</xdr:col>
      <xdr:colOff>4680000</xdr:colOff>
      <xdr:row>171</xdr:row>
      <xdr:rowOff>121034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173</xdr:row>
      <xdr:rowOff>15240</xdr:rowOff>
    </xdr:from>
    <xdr:to>
      <xdr:col>0</xdr:col>
      <xdr:colOff>4680000</xdr:colOff>
      <xdr:row>188</xdr:row>
      <xdr:rowOff>136275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fpggz\Desktop\formation-agenda-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criptions"/>
      <sheetName val="agenda"/>
      <sheetName val="eleves"/>
      <sheetName val="formateurs"/>
      <sheetName val="cstes"/>
      <sheetName val="statistiques-cours"/>
      <sheetName val="remarques-cours"/>
      <sheetName val="formation-agenda-2016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ableau1" displayName="Tableau1" ref="A1:A6" totalsRowShown="0">
  <autoFilter ref="A1:A6"/>
  <tableColumns count="1">
    <tableColumn id="1" name="Catégori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pulent">
      <a:majorFont>
        <a:latin typeface="Trebuchet MS"/>
        <a:ea typeface=""/>
        <a:cs typeface=""/>
        <a:font script="Jpan" typeface="HG丸ｺﾞｼｯｸM-PRO"/>
        <a:font script="Hang" typeface="HY그래픽M"/>
        <a:font script="Hans" typeface="黑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H22"/>
  <sheetViews>
    <sheetView showGridLines="0" showRowColHeaders="0" tabSelected="1" zoomScaleNormal="100" workbookViewId="0">
      <selection activeCell="B3" sqref="B3:H4"/>
    </sheetView>
  </sheetViews>
  <sheetFormatPr baseColWidth="10" defaultRowHeight="14.4" x14ac:dyDescent="0.35"/>
  <cols>
    <col min="1" max="1" width="18" style="53" bestFit="1" customWidth="1"/>
    <col min="2" max="2" width="25.77734375" style="53" bestFit="1" customWidth="1"/>
    <col min="3" max="3" width="23" style="53" customWidth="1"/>
    <col min="4" max="4" width="20.6640625" style="53" customWidth="1"/>
    <col min="5" max="5" width="24.5546875" style="53" customWidth="1"/>
    <col min="6" max="6" width="25.6640625" style="53" customWidth="1"/>
    <col min="7" max="7" width="14.88671875" style="53" customWidth="1"/>
    <col min="8" max="16384" width="11.5546875" style="53"/>
  </cols>
  <sheetData>
    <row r="1" spans="1:8" ht="65.400000000000006" customHeight="1" thickBot="1" x14ac:dyDescent="0.4">
      <c r="A1" s="135" t="s">
        <v>47</v>
      </c>
      <c r="B1" s="135"/>
      <c r="C1" s="135"/>
      <c r="D1" s="135"/>
      <c r="E1" s="135"/>
      <c r="F1" s="135"/>
      <c r="G1" s="135"/>
      <c r="H1" s="135"/>
    </row>
    <row r="2" spans="1:8" s="55" customFormat="1" ht="24.6" thickTop="1" thickBot="1" x14ac:dyDescent="0.4">
      <c r="A2" s="118" t="s">
        <v>50</v>
      </c>
      <c r="B2" s="119" t="s">
        <v>44</v>
      </c>
      <c r="C2" s="120" t="s">
        <v>43</v>
      </c>
      <c r="D2" s="119" t="s">
        <v>51</v>
      </c>
      <c r="E2" s="119" t="s">
        <v>52</v>
      </c>
      <c r="F2" s="121" t="s">
        <v>45</v>
      </c>
      <c r="G2" s="119" t="s">
        <v>48</v>
      </c>
      <c r="H2" s="122" t="s">
        <v>49</v>
      </c>
    </row>
    <row r="3" spans="1:8" ht="15" thickTop="1" x14ac:dyDescent="0.35">
      <c r="A3" s="123"/>
      <c r="B3" s="79"/>
      <c r="C3" s="124"/>
      <c r="D3" s="79"/>
      <c r="E3" s="79"/>
      <c r="F3" s="125"/>
      <c r="G3" s="79"/>
      <c r="H3" s="126"/>
    </row>
    <row r="4" spans="1:8" x14ac:dyDescent="0.35">
      <c r="A4" s="123"/>
      <c r="B4" s="80"/>
      <c r="C4" s="80"/>
      <c r="D4" s="81"/>
      <c r="E4" s="81"/>
      <c r="F4" s="125"/>
      <c r="G4" s="82"/>
      <c r="H4" s="127"/>
    </row>
    <row r="5" spans="1:8" x14ac:dyDescent="0.35">
      <c r="A5" s="123"/>
      <c r="B5" s="79"/>
      <c r="C5" s="124"/>
      <c r="D5" s="79"/>
      <c r="E5" s="79"/>
      <c r="F5" s="125"/>
      <c r="G5" s="79"/>
      <c r="H5" s="126"/>
    </row>
    <row r="6" spans="1:8" x14ac:dyDescent="0.35">
      <c r="A6" s="123"/>
      <c r="B6" s="80"/>
      <c r="C6" s="80"/>
      <c r="D6" s="81"/>
      <c r="E6" s="81"/>
      <c r="F6" s="125"/>
      <c r="G6" s="82"/>
      <c r="H6" s="127"/>
    </row>
    <row r="7" spans="1:8" x14ac:dyDescent="0.35">
      <c r="A7" s="123"/>
      <c r="B7" s="79"/>
      <c r="C7" s="124"/>
      <c r="D7" s="79"/>
      <c r="E7" s="79"/>
      <c r="F7" s="125"/>
      <c r="G7" s="79"/>
      <c r="H7" s="126"/>
    </row>
    <row r="8" spans="1:8" x14ac:dyDescent="0.35">
      <c r="A8" s="123"/>
      <c r="B8" s="80"/>
      <c r="C8" s="80"/>
      <c r="D8" s="81"/>
      <c r="E8" s="81"/>
      <c r="F8" s="125"/>
      <c r="G8" s="82"/>
      <c r="H8" s="127"/>
    </row>
    <row r="9" spans="1:8" x14ac:dyDescent="0.35">
      <c r="A9" s="123"/>
      <c r="B9" s="79"/>
      <c r="C9" s="124"/>
      <c r="D9" s="79"/>
      <c r="E9" s="79"/>
      <c r="F9" s="125"/>
      <c r="G9" s="79"/>
      <c r="H9" s="126"/>
    </row>
    <row r="10" spans="1:8" x14ac:dyDescent="0.35">
      <c r="A10" s="123"/>
      <c r="B10" s="80"/>
      <c r="C10" s="80"/>
      <c r="D10" s="81"/>
      <c r="E10" s="81"/>
      <c r="F10" s="125"/>
      <c r="G10" s="82"/>
      <c r="H10" s="127"/>
    </row>
    <row r="11" spans="1:8" x14ac:dyDescent="0.35">
      <c r="A11" s="123"/>
      <c r="B11" s="79"/>
      <c r="C11" s="124"/>
      <c r="D11" s="79"/>
      <c r="E11" s="79"/>
      <c r="F11" s="125"/>
      <c r="G11" s="79"/>
      <c r="H11" s="126"/>
    </row>
    <row r="12" spans="1:8" x14ac:dyDescent="0.35">
      <c r="A12" s="123"/>
      <c r="B12" s="80"/>
      <c r="C12" s="80"/>
      <c r="D12" s="81"/>
      <c r="E12" s="81"/>
      <c r="F12" s="125"/>
      <c r="G12" s="82"/>
      <c r="H12" s="127"/>
    </row>
    <row r="13" spans="1:8" x14ac:dyDescent="0.35">
      <c r="A13" s="123"/>
      <c r="B13" s="79"/>
      <c r="C13" s="124"/>
      <c r="D13" s="79"/>
      <c r="E13" s="79"/>
      <c r="F13" s="125"/>
      <c r="G13" s="79"/>
      <c r="H13" s="126"/>
    </row>
    <row r="14" spans="1:8" x14ac:dyDescent="0.35">
      <c r="A14" s="123"/>
      <c r="B14" s="80"/>
      <c r="C14" s="80"/>
      <c r="D14" s="81"/>
      <c r="E14" s="81"/>
      <c r="F14" s="125"/>
      <c r="G14" s="82"/>
      <c r="H14" s="127"/>
    </row>
    <row r="15" spans="1:8" x14ac:dyDescent="0.35">
      <c r="A15" s="123"/>
      <c r="B15" s="79"/>
      <c r="C15" s="124"/>
      <c r="D15" s="79"/>
      <c r="E15" s="79"/>
      <c r="F15" s="125"/>
      <c r="G15" s="79"/>
      <c r="H15" s="126"/>
    </row>
    <row r="16" spans="1:8" x14ac:dyDescent="0.35">
      <c r="A16" s="123"/>
      <c r="B16" s="80"/>
      <c r="C16" s="80"/>
      <c r="D16" s="81"/>
      <c r="E16" s="81"/>
      <c r="F16" s="125"/>
      <c r="G16" s="82"/>
      <c r="H16" s="127"/>
    </row>
    <row r="17" spans="1:8" x14ac:dyDescent="0.35">
      <c r="A17" s="123"/>
      <c r="B17" s="79"/>
      <c r="C17" s="124"/>
      <c r="D17" s="79"/>
      <c r="E17" s="79"/>
      <c r="F17" s="125"/>
      <c r="G17" s="79"/>
      <c r="H17" s="126"/>
    </row>
    <row r="18" spans="1:8" ht="15" thickBot="1" x14ac:dyDescent="0.4">
      <c r="A18" s="128"/>
      <c r="B18" s="129"/>
      <c r="C18" s="129"/>
      <c r="D18" s="130"/>
      <c r="E18" s="130"/>
      <c r="F18" s="131"/>
      <c r="G18" s="132"/>
      <c r="H18" s="133"/>
    </row>
    <row r="19" spans="1:8" ht="15" thickTop="1" x14ac:dyDescent="0.35">
      <c r="C19" s="78"/>
    </row>
    <row r="20" spans="1:8" ht="54.6" hidden="1" customHeight="1" x14ac:dyDescent="0.35">
      <c r="A20" s="134" t="s">
        <v>46</v>
      </c>
      <c r="B20" s="134"/>
      <c r="C20" s="134"/>
      <c r="D20" s="134"/>
      <c r="E20" s="134"/>
      <c r="F20" s="134"/>
    </row>
    <row r="21" spans="1:8" ht="31.2" hidden="1" customHeight="1" thickBot="1" x14ac:dyDescent="0.4">
      <c r="A21" s="54" t="str">
        <f t="shared" ref="A21:H21" si="0">A2</f>
        <v>ID cours</v>
      </c>
      <c r="B21" s="54" t="str">
        <f t="shared" si="0"/>
        <v>Nom cours</v>
      </c>
      <c r="C21" s="54" t="str">
        <f t="shared" si="0"/>
        <v>Date début cours</v>
      </c>
      <c r="D21" s="54" t="str">
        <f t="shared" si="0"/>
        <v>ID_formateur1</v>
      </c>
      <c r="E21" s="54" t="str">
        <f t="shared" si="0"/>
        <v>ID_formateur2</v>
      </c>
      <c r="F21" s="54" t="s">
        <v>53</v>
      </c>
      <c r="G21" s="54" t="str">
        <f t="shared" si="0"/>
        <v>Lieu formation</v>
      </c>
      <c r="H21" s="54" t="str">
        <f t="shared" si="0"/>
        <v>Durée [H]</v>
      </c>
    </row>
    <row r="22" spans="1:8" ht="15" hidden="1" thickTop="1" x14ac:dyDescent="0.35">
      <c r="A22" s="75" t="str">
        <f>IF(A3&lt;&gt;0,A3,"")</f>
        <v/>
      </c>
      <c r="B22" s="74" t="str">
        <f>IF(B3&lt;&gt;0,B3,"")</f>
        <v/>
      </c>
      <c r="C22" s="77" t="str">
        <f>IF(C3&lt;&gt;0,C3,"")</f>
        <v/>
      </c>
      <c r="D22" s="75" t="str">
        <f>IF(D3&lt;&gt;0,D3,"")</f>
        <v/>
      </c>
      <c r="E22" s="75">
        <f>IF(E3&lt;&gt;0,E3,0)</f>
        <v>0</v>
      </c>
      <c r="F22" s="75" t="str">
        <f>IF(COUNTA(F3:F19)&lt;&gt;0,COUNTA(F3:F19),"")</f>
        <v/>
      </c>
      <c r="G22" s="75" t="str">
        <f>IF(G3&lt;&gt;0,G3,"")</f>
        <v/>
      </c>
      <c r="H22" s="75" t="str">
        <f>IF(H3&lt;&gt;0,H3,"")</f>
        <v/>
      </c>
    </row>
  </sheetData>
  <sheetProtection sheet="1" objects="1" scenarios="1" selectLockedCells="1"/>
  <mergeCells count="2">
    <mergeCell ref="A20:F20"/>
    <mergeCell ref="A1:H1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K37"/>
  <sheetViews>
    <sheetView showGridLines="0" showRowColHeaders="0" zoomScale="70" zoomScaleNormal="70" zoomScaleSheetLayoutView="100" zoomScalePageLayoutView="85" workbookViewId="0">
      <pane xSplit="1" ySplit="5" topLeftCell="B12" activePane="bottomRight" state="frozen"/>
      <selection activeCell="B3" sqref="B3:H4"/>
      <selection pane="topRight" activeCell="B3" sqref="B3:H4"/>
      <selection pane="bottomLeft" activeCell="B3" sqref="B3:H4"/>
      <selection pane="bottomRight" activeCell="C29" sqref="C29:K29"/>
    </sheetView>
  </sheetViews>
  <sheetFormatPr baseColWidth="10" defaultColWidth="11.5546875" defaultRowHeight="18" x14ac:dyDescent="0.35"/>
  <cols>
    <col min="1" max="1" width="13.109375" style="23" customWidth="1"/>
    <col min="2" max="2" width="22.77734375" style="23" customWidth="1"/>
    <col min="3" max="3" width="20.77734375" style="23" customWidth="1"/>
    <col min="4" max="4" width="22.77734375" style="23" customWidth="1"/>
    <col min="5" max="5" width="20.77734375" style="23" customWidth="1"/>
    <col min="6" max="6" width="22.77734375" style="23" customWidth="1"/>
    <col min="7" max="11" width="8.77734375" style="23" customWidth="1"/>
    <col min="12" max="16384" width="11.5546875" style="23"/>
  </cols>
  <sheetData>
    <row r="1" spans="1:11" s="21" customFormat="1" ht="40.200000000000003" customHeight="1" x14ac:dyDescent="0.35">
      <c r="A1" s="18" t="str">
        <f>'info-agenda'!$A$2</f>
        <v>ID cours</v>
      </c>
      <c r="B1" s="57" t="str">
        <f>IF('info-agenda'!$A$22&lt;&gt;0,'info-agenda'!$A$22,"")</f>
        <v/>
      </c>
      <c r="C1" s="19" t="str">
        <f>'info-agenda'!$C$2</f>
        <v>Date début cours</v>
      </c>
      <c r="D1" s="58" t="str">
        <f>IF('info-agenda'!$C$22&lt;&gt;0,'info-agenda'!$C$22,"")</f>
        <v/>
      </c>
      <c r="E1" s="19" t="str">
        <f>'info-agenda'!$H$2</f>
        <v>Durée [H]</v>
      </c>
      <c r="F1" s="59" t="str">
        <f>IF('info-agenda'!$H$22&lt;&gt;0,'info-agenda'!$H$22,"")</f>
        <v/>
      </c>
      <c r="G1" s="45"/>
      <c r="H1" s="45"/>
      <c r="I1" s="20"/>
      <c r="J1" s="20"/>
    </row>
    <row r="2" spans="1:11" s="21" customFormat="1" ht="40.200000000000003" customHeight="1" x14ac:dyDescent="0.35">
      <c r="A2" s="19" t="str">
        <f>'info-agenda'!$G$2</f>
        <v>Lieu formation</v>
      </c>
      <c r="B2" s="59" t="str">
        <f>IF('info-agenda'!$G$22&lt;&gt;0,'info-agenda'!$G$22,"")</f>
        <v/>
      </c>
      <c r="C2" s="19" t="str">
        <f>IF('info-agenda'!$D$22&lt;&gt;0,'info-agenda'!$D$2 &amp; IF('info-agenda'!$E$22&lt;&gt;0," et "&amp;'info-agenda'!$E$2,"") )</f>
        <v>ID_formateur1</v>
      </c>
      <c r="D2" s="57" t="str">
        <f>IF('info-agenda'!$D$22&lt;&gt;0,'info-agenda'!$D$22 &amp; IF('info-agenda'!$E$22&lt;&gt;0," et "&amp;'info-agenda'!$E$22,"") )</f>
        <v/>
      </c>
      <c r="E2" s="19" t="s">
        <v>40</v>
      </c>
      <c r="F2" s="59" t="str">
        <f>IF('info-agenda'!$F$22&lt;&gt;0,'info-agenda'!$F$22,"")</f>
        <v/>
      </c>
      <c r="G2" s="64"/>
      <c r="H2" s="63"/>
      <c r="I2" s="46"/>
      <c r="J2" s="22"/>
      <c r="K2" s="46"/>
    </row>
    <row r="3" spans="1:11" ht="47.4" customHeight="1" x14ac:dyDescent="0.35">
      <c r="A3" s="83" t="str">
        <f>'info-agenda'!$B$2</f>
        <v>Nom cours</v>
      </c>
      <c r="B3" s="59" t="str">
        <f>IF('info-agenda'!$A$22&lt;&gt;0,'info-agenda'!$B$22,"")</f>
        <v/>
      </c>
      <c r="C3" s="84"/>
      <c r="D3" s="85"/>
      <c r="E3" s="85"/>
      <c r="F3" s="86"/>
      <c r="G3"/>
      <c r="H3"/>
      <c r="I3"/>
      <c r="J3"/>
      <c r="K3"/>
    </row>
    <row r="4" spans="1:11" ht="120" customHeight="1" x14ac:dyDescent="0.35">
      <c r="A4" s="90"/>
      <c r="B4" s="91"/>
      <c r="C4" s="91"/>
      <c r="D4" s="91"/>
      <c r="E4" s="91"/>
      <c r="F4" s="92"/>
      <c r="G4" s="24" t="s">
        <v>14</v>
      </c>
      <c r="H4" s="25" t="s">
        <v>15</v>
      </c>
      <c r="I4" s="26" t="s">
        <v>16</v>
      </c>
      <c r="J4" s="27" t="s">
        <v>17</v>
      </c>
      <c r="K4" s="28" t="s">
        <v>18</v>
      </c>
    </row>
    <row r="5" spans="1:11" ht="24" customHeight="1" x14ac:dyDescent="0.35">
      <c r="A5" s="93" t="s">
        <v>33</v>
      </c>
      <c r="B5" s="94" t="s">
        <v>34</v>
      </c>
      <c r="C5" s="95" t="s">
        <v>0</v>
      </c>
      <c r="D5" s="96"/>
      <c r="E5" s="96"/>
      <c r="F5" s="97"/>
      <c r="G5" s="29" t="s">
        <v>9</v>
      </c>
      <c r="H5" s="30" t="s">
        <v>10</v>
      </c>
      <c r="I5" s="31" t="s">
        <v>11</v>
      </c>
      <c r="J5" s="32" t="s">
        <v>12</v>
      </c>
      <c r="K5" s="33" t="s">
        <v>13</v>
      </c>
    </row>
    <row r="6" spans="1:11" ht="34.049999999999997" customHeight="1" x14ac:dyDescent="0.35">
      <c r="A6" s="98">
        <v>1</v>
      </c>
      <c r="B6" s="99" t="s">
        <v>36</v>
      </c>
      <c r="C6" s="100" t="s">
        <v>31</v>
      </c>
      <c r="D6" s="101"/>
      <c r="E6" s="101"/>
      <c r="F6" s="102"/>
      <c r="G6" s="87"/>
      <c r="H6" s="87"/>
      <c r="I6" s="87"/>
      <c r="J6" s="88"/>
      <c r="K6" s="89"/>
    </row>
    <row r="7" spans="1:11" ht="34.049999999999997" customHeight="1" x14ac:dyDescent="0.35">
      <c r="A7" s="103">
        <v>2</v>
      </c>
      <c r="B7" s="104" t="s">
        <v>36</v>
      </c>
      <c r="C7" s="100" t="s">
        <v>1</v>
      </c>
      <c r="D7" s="101"/>
      <c r="E7" s="101"/>
      <c r="F7" s="102"/>
      <c r="G7" s="87"/>
      <c r="H7" s="87"/>
      <c r="I7" s="87"/>
      <c r="J7" s="88"/>
      <c r="K7" s="89"/>
    </row>
    <row r="8" spans="1:11" ht="34.049999999999997" customHeight="1" x14ac:dyDescent="0.35">
      <c r="A8" s="103">
        <v>3</v>
      </c>
      <c r="B8" s="104" t="s">
        <v>36</v>
      </c>
      <c r="C8" s="100" t="s">
        <v>3</v>
      </c>
      <c r="D8" s="101"/>
      <c r="E8" s="101"/>
      <c r="F8" s="102"/>
      <c r="G8" s="87"/>
      <c r="H8" s="87"/>
      <c r="I8" s="87"/>
      <c r="J8" s="88"/>
      <c r="K8" s="89"/>
    </row>
    <row r="9" spans="1:11" ht="34.049999999999997" customHeight="1" x14ac:dyDescent="0.35">
      <c r="A9" s="103">
        <v>4</v>
      </c>
      <c r="B9" s="104" t="s">
        <v>39</v>
      </c>
      <c r="C9" s="100" t="s">
        <v>2</v>
      </c>
      <c r="D9" s="101"/>
      <c r="E9" s="101"/>
      <c r="F9" s="102"/>
      <c r="G9" s="87"/>
      <c r="H9" s="87"/>
      <c r="I9" s="87"/>
      <c r="J9" s="88"/>
      <c r="K9" s="89"/>
    </row>
    <row r="10" spans="1:11" ht="34.049999999999997" customHeight="1" x14ac:dyDescent="0.35">
      <c r="A10" s="103">
        <v>5</v>
      </c>
      <c r="B10" s="104" t="s">
        <v>39</v>
      </c>
      <c r="C10" s="100" t="s">
        <v>4</v>
      </c>
      <c r="D10" s="101"/>
      <c r="E10" s="101"/>
      <c r="F10" s="102"/>
      <c r="G10" s="87"/>
      <c r="H10" s="87"/>
      <c r="I10" s="87"/>
      <c r="J10" s="88"/>
      <c r="K10" s="89"/>
    </row>
    <row r="11" spans="1:11" ht="34.049999999999997" customHeight="1" x14ac:dyDescent="0.35">
      <c r="A11" s="103">
        <v>6</v>
      </c>
      <c r="B11" s="104" t="s">
        <v>39</v>
      </c>
      <c r="C11" s="100" t="s">
        <v>7</v>
      </c>
      <c r="D11" s="101"/>
      <c r="E11" s="101"/>
      <c r="F11" s="102"/>
      <c r="G11" s="87"/>
      <c r="H11" s="87"/>
      <c r="I11" s="87"/>
      <c r="J11" s="88"/>
      <c r="K11" s="89"/>
    </row>
    <row r="12" spans="1:11" ht="34.049999999999997" customHeight="1" x14ac:dyDescent="0.35">
      <c r="A12" s="103">
        <v>7</v>
      </c>
      <c r="B12" s="104" t="s">
        <v>37</v>
      </c>
      <c r="C12" s="100" t="s">
        <v>32</v>
      </c>
      <c r="D12" s="101"/>
      <c r="E12" s="101"/>
      <c r="F12" s="102"/>
      <c r="G12" s="87"/>
      <c r="H12" s="87"/>
      <c r="I12" s="87"/>
      <c r="J12" s="88"/>
      <c r="K12" s="89"/>
    </row>
    <row r="13" spans="1:11" ht="34.049999999999997" customHeight="1" x14ac:dyDescent="0.35">
      <c r="A13" s="103">
        <v>8</v>
      </c>
      <c r="B13" s="104" t="s">
        <v>38</v>
      </c>
      <c r="C13" s="100" t="s">
        <v>5</v>
      </c>
      <c r="D13" s="101"/>
      <c r="E13" s="101"/>
      <c r="F13" s="102"/>
      <c r="G13" s="87"/>
      <c r="H13" s="87"/>
      <c r="I13" s="87"/>
      <c r="J13" s="88"/>
      <c r="K13" s="89"/>
    </row>
    <row r="14" spans="1:11" ht="34.049999999999997" customHeight="1" x14ac:dyDescent="0.35">
      <c r="A14" s="103">
        <v>9</v>
      </c>
      <c r="B14" s="104" t="s">
        <v>38</v>
      </c>
      <c r="C14" s="100" t="s">
        <v>29</v>
      </c>
      <c r="D14" s="101"/>
      <c r="E14" s="101"/>
      <c r="F14" s="102"/>
      <c r="G14" s="87"/>
      <c r="H14" s="87"/>
      <c r="I14" s="87"/>
      <c r="J14" s="88"/>
      <c r="K14" s="89"/>
    </row>
    <row r="15" spans="1:11" ht="34.049999999999997" customHeight="1" x14ac:dyDescent="0.35">
      <c r="A15" s="103">
        <v>10</v>
      </c>
      <c r="B15" s="104" t="s">
        <v>38</v>
      </c>
      <c r="C15" s="100" t="s">
        <v>6</v>
      </c>
      <c r="D15" s="101"/>
      <c r="E15" s="101"/>
      <c r="F15" s="102"/>
      <c r="G15" s="87"/>
      <c r="H15" s="87"/>
      <c r="I15" s="87"/>
      <c r="J15" s="88"/>
      <c r="K15" s="89"/>
    </row>
    <row r="16" spans="1:11" ht="34.049999999999997" customHeight="1" thickBot="1" x14ac:dyDescent="0.4">
      <c r="A16" s="98">
        <v>11</v>
      </c>
      <c r="B16" s="99" t="s">
        <v>38</v>
      </c>
      <c r="C16" s="100" t="s">
        <v>8</v>
      </c>
      <c r="D16" s="101"/>
      <c r="E16" s="101"/>
      <c r="F16" s="102"/>
      <c r="G16" s="87"/>
      <c r="H16" s="87"/>
      <c r="I16" s="87"/>
      <c r="J16" s="88"/>
      <c r="K16" s="89"/>
    </row>
    <row r="17" spans="1:11" ht="34.049999999999997" hidden="1" customHeight="1" x14ac:dyDescent="0.35">
      <c r="A17" s="98">
        <v>12</v>
      </c>
      <c r="B17" s="99"/>
      <c r="C17" s="100"/>
      <c r="D17" s="101"/>
      <c r="E17" s="101"/>
      <c r="F17" s="102"/>
      <c r="G17" s="34"/>
      <c r="H17" s="35"/>
      <c r="I17" s="36"/>
      <c r="J17" s="37"/>
      <c r="K17" s="38"/>
    </row>
    <row r="18" spans="1:11" ht="34.049999999999997" hidden="1" customHeight="1" x14ac:dyDescent="0.35">
      <c r="A18" s="98">
        <v>13</v>
      </c>
      <c r="B18" s="99"/>
      <c r="C18" s="100"/>
      <c r="D18" s="101"/>
      <c r="E18" s="101"/>
      <c r="F18" s="102"/>
      <c r="G18" s="34"/>
      <c r="H18" s="35"/>
      <c r="I18" s="36"/>
      <c r="J18" s="37"/>
      <c r="K18" s="38"/>
    </row>
    <row r="19" spans="1:11" ht="34.049999999999997" hidden="1" customHeight="1" x14ac:dyDescent="0.35">
      <c r="A19" s="98">
        <v>14</v>
      </c>
      <c r="B19" s="99"/>
      <c r="C19" s="100"/>
      <c r="D19" s="101"/>
      <c r="E19" s="101"/>
      <c r="F19" s="102"/>
      <c r="G19" s="34"/>
      <c r="H19" s="35"/>
      <c r="I19" s="36"/>
      <c r="J19" s="37"/>
      <c r="K19" s="38"/>
    </row>
    <row r="20" spans="1:11" ht="34.049999999999997" hidden="1" customHeight="1" x14ac:dyDescent="0.35">
      <c r="A20" s="98">
        <v>15</v>
      </c>
      <c r="B20" s="99"/>
      <c r="C20" s="100"/>
      <c r="D20" s="101"/>
      <c r="E20" s="101"/>
      <c r="F20" s="102"/>
      <c r="G20" s="34"/>
      <c r="H20" s="35"/>
      <c r="I20" s="36"/>
      <c r="J20" s="37"/>
      <c r="K20" s="38"/>
    </row>
    <row r="21" spans="1:11" ht="34.049999999999997" hidden="1" customHeight="1" x14ac:dyDescent="0.35">
      <c r="A21" s="98">
        <v>16</v>
      </c>
      <c r="B21" s="99"/>
      <c r="C21" s="100"/>
      <c r="D21" s="101"/>
      <c r="E21" s="101"/>
      <c r="F21" s="102"/>
      <c r="G21" s="34"/>
      <c r="H21" s="35"/>
      <c r="I21" s="36"/>
      <c r="J21" s="37"/>
      <c r="K21" s="38"/>
    </row>
    <row r="22" spans="1:11" ht="34.049999999999997" hidden="1" customHeight="1" x14ac:dyDescent="0.35">
      <c r="A22" s="98">
        <v>17</v>
      </c>
      <c r="B22" s="99"/>
      <c r="C22" s="100"/>
      <c r="D22" s="101"/>
      <c r="E22" s="101"/>
      <c r="F22" s="102"/>
      <c r="G22" s="34"/>
      <c r="H22" s="35"/>
      <c r="I22" s="36"/>
      <c r="J22" s="37"/>
      <c r="K22" s="38"/>
    </row>
    <row r="23" spans="1:11" ht="34.049999999999997" hidden="1" customHeight="1" x14ac:dyDescent="0.35">
      <c r="A23" s="98">
        <v>18</v>
      </c>
      <c r="B23" s="99"/>
      <c r="C23" s="100"/>
      <c r="D23" s="101"/>
      <c r="E23" s="101"/>
      <c r="F23" s="102"/>
      <c r="G23" s="34"/>
      <c r="H23" s="35"/>
      <c r="I23" s="36"/>
      <c r="J23" s="37"/>
      <c r="K23" s="38"/>
    </row>
    <row r="24" spans="1:11" ht="34.049999999999997" hidden="1" customHeight="1" x14ac:dyDescent="0.35">
      <c r="A24" s="98">
        <v>19</v>
      </c>
      <c r="B24" s="99"/>
      <c r="C24" s="100"/>
      <c r="D24" s="101"/>
      <c r="E24" s="101"/>
      <c r="F24" s="102"/>
      <c r="G24" s="34"/>
      <c r="H24" s="35"/>
      <c r="I24" s="36"/>
      <c r="J24" s="37"/>
      <c r="K24" s="38"/>
    </row>
    <row r="25" spans="1:11" ht="34.049999999999997" hidden="1" customHeight="1" thickBot="1" x14ac:dyDescent="0.4">
      <c r="A25" s="105">
        <v>20</v>
      </c>
      <c r="B25" s="106"/>
      <c r="C25" s="107"/>
      <c r="D25" s="108"/>
      <c r="E25" s="108"/>
      <c r="F25" s="109"/>
      <c r="G25" s="65"/>
      <c r="H25" s="66"/>
      <c r="I25" s="67"/>
      <c r="J25" s="68"/>
      <c r="K25" s="69"/>
    </row>
    <row r="26" spans="1:11" ht="34.049999999999997" customHeight="1" x14ac:dyDescent="0.35">
      <c r="A26" s="110" t="s">
        <v>30</v>
      </c>
      <c r="B26" s="111"/>
      <c r="C26" s="112"/>
      <c r="D26" s="112"/>
      <c r="E26" s="113"/>
      <c r="F26" s="113"/>
      <c r="G26" s="113"/>
      <c r="H26" s="113"/>
      <c r="I26" s="113"/>
      <c r="J26" s="113"/>
      <c r="K26" s="117"/>
    </row>
    <row r="27" spans="1:11" s="39" customFormat="1" ht="36" customHeight="1" x14ac:dyDescent="0.35">
      <c r="A27" s="114" t="s">
        <v>19</v>
      </c>
      <c r="B27" s="60"/>
      <c r="C27" s="136"/>
      <c r="D27" s="136"/>
      <c r="E27" s="136"/>
      <c r="F27" s="136"/>
      <c r="G27" s="136"/>
      <c r="H27" s="136"/>
      <c r="I27" s="136"/>
      <c r="J27" s="136"/>
      <c r="K27" s="137"/>
    </row>
    <row r="28" spans="1:11" s="39" customFormat="1" ht="36" customHeight="1" x14ac:dyDescent="0.35">
      <c r="A28" s="114" t="s">
        <v>20</v>
      </c>
      <c r="B28" s="60"/>
      <c r="C28" s="136"/>
      <c r="D28" s="136"/>
      <c r="E28" s="136"/>
      <c r="F28" s="136"/>
      <c r="G28" s="136"/>
      <c r="H28" s="136"/>
      <c r="I28" s="136"/>
      <c r="J28" s="136"/>
      <c r="K28" s="137"/>
    </row>
    <row r="29" spans="1:11" s="39" customFormat="1" ht="36" customHeight="1" x14ac:dyDescent="0.35">
      <c r="A29" s="114" t="s">
        <v>21</v>
      </c>
      <c r="B29" s="60"/>
      <c r="C29" s="136"/>
      <c r="D29" s="136"/>
      <c r="E29" s="136"/>
      <c r="F29" s="136"/>
      <c r="G29" s="136"/>
      <c r="H29" s="136"/>
      <c r="I29" s="136"/>
      <c r="J29" s="136"/>
      <c r="K29" s="137"/>
    </row>
    <row r="30" spans="1:11" s="39" customFormat="1" ht="36" customHeight="1" x14ac:dyDescent="0.35">
      <c r="A30" s="115" t="s">
        <v>28</v>
      </c>
      <c r="B30" s="61"/>
      <c r="C30" s="136"/>
      <c r="D30" s="136"/>
      <c r="E30" s="136"/>
      <c r="F30" s="136"/>
      <c r="G30" s="136"/>
      <c r="H30" s="136"/>
      <c r="I30" s="136"/>
      <c r="J30" s="136"/>
      <c r="K30" s="137"/>
    </row>
    <row r="31" spans="1:11" s="39" customFormat="1" ht="36" customHeight="1" x14ac:dyDescent="0.35">
      <c r="A31" s="114" t="s">
        <v>22</v>
      </c>
      <c r="B31" s="60"/>
      <c r="C31" s="136"/>
      <c r="D31" s="136"/>
      <c r="E31" s="136"/>
      <c r="F31" s="136"/>
      <c r="G31" s="136"/>
      <c r="H31" s="136"/>
      <c r="I31" s="136"/>
      <c r="J31" s="136"/>
      <c r="K31" s="137"/>
    </row>
    <row r="32" spans="1:11" s="39" customFormat="1" ht="36" customHeight="1" x14ac:dyDescent="0.35">
      <c r="A32" s="114" t="s">
        <v>23</v>
      </c>
      <c r="B32" s="60"/>
      <c r="C32" s="136"/>
      <c r="D32" s="136"/>
      <c r="E32" s="136"/>
      <c r="F32" s="136"/>
      <c r="G32" s="136"/>
      <c r="H32" s="136"/>
      <c r="I32" s="136"/>
      <c r="J32" s="136"/>
      <c r="K32" s="137"/>
    </row>
    <row r="33" spans="1:11" s="39" customFormat="1" ht="36" customHeight="1" x14ac:dyDescent="0.35">
      <c r="A33" s="114" t="s">
        <v>24</v>
      </c>
      <c r="B33" s="60"/>
      <c r="C33" s="136"/>
      <c r="D33" s="136"/>
      <c r="E33" s="136"/>
      <c r="F33" s="136"/>
      <c r="G33" s="136"/>
      <c r="H33" s="136"/>
      <c r="I33" s="136"/>
      <c r="J33" s="136"/>
      <c r="K33" s="137"/>
    </row>
    <row r="34" spans="1:11" s="39" customFormat="1" ht="36" customHeight="1" x14ac:dyDescent="0.35">
      <c r="A34" s="114" t="s">
        <v>25</v>
      </c>
      <c r="B34" s="60"/>
      <c r="C34" s="136"/>
      <c r="D34" s="136"/>
      <c r="E34" s="136"/>
      <c r="F34" s="136"/>
      <c r="G34" s="136"/>
      <c r="H34" s="136"/>
      <c r="I34" s="136"/>
      <c r="J34" s="136"/>
      <c r="K34" s="137"/>
    </row>
    <row r="35" spans="1:11" s="39" customFormat="1" ht="36" customHeight="1" x14ac:dyDescent="0.35">
      <c r="A35" s="114" t="s">
        <v>26</v>
      </c>
      <c r="B35" s="60"/>
      <c r="C35" s="136"/>
      <c r="D35" s="136"/>
      <c r="E35" s="136"/>
      <c r="F35" s="136"/>
      <c r="G35" s="136"/>
      <c r="H35" s="136"/>
      <c r="I35" s="136"/>
      <c r="J35" s="136"/>
      <c r="K35" s="137"/>
    </row>
    <row r="36" spans="1:11" s="39" customFormat="1" ht="36" customHeight="1" thickBot="1" x14ac:dyDescent="0.4">
      <c r="A36" s="116" t="s">
        <v>27</v>
      </c>
      <c r="B36" s="62"/>
      <c r="C36" s="138"/>
      <c r="D36" s="138"/>
      <c r="E36" s="138"/>
      <c r="F36" s="138"/>
      <c r="G36" s="138"/>
      <c r="H36" s="138"/>
      <c r="I36" s="138"/>
      <c r="J36" s="138"/>
      <c r="K36" s="139"/>
    </row>
    <row r="37" spans="1:11" ht="15" customHeight="1" x14ac:dyDescent="0.35"/>
  </sheetData>
  <sheetProtection sheet="1" objects="1" scenarios="1" selectLockedCells="1"/>
  <sortState ref="A6:J16">
    <sortCondition ref="B6:B16"/>
  </sortState>
  <dataConsolidate/>
  <mergeCells count="10">
    <mergeCell ref="C27:K27"/>
    <mergeCell ref="C36:K36"/>
    <mergeCell ref="C28:K28"/>
    <mergeCell ref="C29:K29"/>
    <mergeCell ref="C30:K30"/>
    <mergeCell ref="C31:K31"/>
    <mergeCell ref="C32:K32"/>
    <mergeCell ref="C33:K33"/>
    <mergeCell ref="C34:K34"/>
    <mergeCell ref="C35:K35"/>
  </mergeCells>
  <conditionalFormatting sqref="H4:H5">
    <cfRule type="iconSet" priority="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dataValidations count="2">
    <dataValidation type="list" allowBlank="1" showInputMessage="1" showErrorMessage="1" sqref="B6:B25">
      <formula1>categorie</formula1>
    </dataValidation>
    <dataValidation type="whole" allowBlank="1" showInputMessage="1" showErrorMessage="1" errorTitle="err-avis" error="Indiquer le nombre, exprimés par les élèves, correspondant à l'avis indiqué dans l'entête de la colonne. Normalement, la somme horizontale devrait correspondre au nombre d'élèves ayant suivi la formation." promptTitle="msg-avis" prompt="Indiquer le nombre, exprimés par les élèves, correspondant à l'avis indiqué dans l'entête de la colonne. Normalement, la somme horizontale devrait correspondre au nombre d'élèves ayant suivi la formation." sqref="G6:K16">
      <formula1>0</formula1>
      <formula2>50</formula2>
    </dataValidation>
  </dataValidations>
  <printOptions horizontalCentered="1" verticalCentered="1"/>
  <pageMargins left="0.78740157480314965" right="0.78740157480314965" top="0.59055118110236227" bottom="0.59055118110236227" header="0.31496062992125984" footer="0.19685039370078741"/>
  <pageSetup paperSize="9" scale="55" orientation="portrait" r:id="rId1"/>
  <headerFooter alignWithMargins="0">
    <oddHeader>&amp;CEnquête de satisfaction pour la formation</oddHeader>
    <oddFooter>&amp;L&amp;D&amp;C&amp;F - &amp;A&amp;RPage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-categorie" error="Indiquer la catégorie d'avis qui correspond le mieux à la remarque exprimée. La liste des catégories possibles est définie dans l'onglet &quot;cstes&quot;" promptTitle="msg-categorie" prompt="Indiquer la catégorie d'avis qui correspond le mieux à la remarque exprimée. La liste des catégories possibles est définie dans l'onglet &quot;cstes&quot;">
          <x14:formula1>
            <xm:f>cstes!$A$2:$A$1048576</xm:f>
          </x14:formula1>
          <xm:sqref>B27:B36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J173"/>
  <sheetViews>
    <sheetView showGridLines="0" showRowColHeaders="0" view="pageBreakPreview" zoomScale="190" zoomScaleNormal="100" zoomScaleSheetLayoutView="190" workbookViewId="0">
      <selection activeCell="C29" sqref="C29:K29"/>
    </sheetView>
  </sheetViews>
  <sheetFormatPr baseColWidth="10" defaultRowHeight="14.4" x14ac:dyDescent="0.35"/>
  <cols>
    <col min="1" max="1" width="68.5546875" style="8" customWidth="1"/>
    <col min="2" max="5" width="11.5546875" style="4"/>
    <col min="6" max="6" width="2.109375" style="4" customWidth="1"/>
    <col min="7" max="7" width="15.33203125" style="4" customWidth="1"/>
    <col min="8" max="8" width="3.33203125" style="4" customWidth="1"/>
    <col min="9" max="9" width="11.5546875" style="4"/>
    <col min="10" max="10" width="4.88671875" style="4" customWidth="1"/>
    <col min="11" max="11" width="14.6640625" style="4" customWidth="1"/>
    <col min="12" max="12" width="3.6640625" style="4" customWidth="1"/>
    <col min="13" max="13" width="16.6640625" style="4" customWidth="1"/>
    <col min="14" max="14" width="4" style="4" customWidth="1"/>
    <col min="15" max="16384" width="11.5546875" style="4"/>
  </cols>
  <sheetData>
    <row r="1" spans="1:10" ht="18.600000000000001" customHeight="1" x14ac:dyDescent="0.35">
      <c r="A1" s="5" t="str">
        <f>questionnaire!C1</f>
        <v>Date début cours</v>
      </c>
      <c r="B1" s="1"/>
      <c r="C1" s="140"/>
      <c r="D1" s="140"/>
      <c r="E1" s="141"/>
      <c r="F1" s="141"/>
      <c r="G1" s="2"/>
      <c r="H1" s="3"/>
      <c r="I1" s="142"/>
      <c r="J1" s="142"/>
    </row>
    <row r="2" spans="1:10" ht="13.2" customHeight="1" x14ac:dyDescent="0.35"/>
    <row r="3" spans="1:10" ht="15.6" customHeight="1" x14ac:dyDescent="0.35">
      <c r="A3" s="8">
        <f>questionnaire!$A$6</f>
        <v>1</v>
      </c>
    </row>
    <row r="9" spans="1:10" x14ac:dyDescent="0.35">
      <c r="A9" s="5"/>
    </row>
    <row r="20" spans="1:1" x14ac:dyDescent="0.35">
      <c r="A20" s="8">
        <f>questionnaire!$A$7</f>
        <v>2</v>
      </c>
    </row>
    <row r="34" spans="1:1" x14ac:dyDescent="0.35">
      <c r="A34" s="5"/>
    </row>
    <row r="35" spans="1:1" x14ac:dyDescent="0.35">
      <c r="A35" s="9"/>
    </row>
    <row r="36" spans="1:1" x14ac:dyDescent="0.35">
      <c r="A36" s="9"/>
    </row>
    <row r="37" spans="1:1" x14ac:dyDescent="0.35">
      <c r="A37" s="9">
        <f>questionnaire!$A$8</f>
        <v>3</v>
      </c>
    </row>
    <row r="38" spans="1:1" x14ac:dyDescent="0.35">
      <c r="A38" s="9"/>
    </row>
    <row r="39" spans="1:1" x14ac:dyDescent="0.35">
      <c r="A39" s="9"/>
    </row>
    <row r="40" spans="1:1" x14ac:dyDescent="0.35">
      <c r="A40" s="9"/>
    </row>
    <row r="41" spans="1:1" x14ac:dyDescent="0.35">
      <c r="A41" s="10"/>
    </row>
    <row r="42" spans="1:1" x14ac:dyDescent="0.35">
      <c r="A42" s="10"/>
    </row>
    <row r="43" spans="1:1" x14ac:dyDescent="0.35">
      <c r="A43" s="10"/>
    </row>
    <row r="44" spans="1:1" x14ac:dyDescent="0.35">
      <c r="A44" s="10"/>
    </row>
    <row r="45" spans="1:1" x14ac:dyDescent="0.35">
      <c r="A45" s="10"/>
    </row>
    <row r="46" spans="1:1" x14ac:dyDescent="0.35">
      <c r="A46" s="10"/>
    </row>
    <row r="47" spans="1:1" x14ac:dyDescent="0.35">
      <c r="A47" s="10"/>
    </row>
    <row r="48" spans="1:1" x14ac:dyDescent="0.35">
      <c r="A48" s="10"/>
    </row>
    <row r="49" spans="1:1" x14ac:dyDescent="0.35">
      <c r="A49" s="10"/>
    </row>
    <row r="50" spans="1:1" x14ac:dyDescent="0.35">
      <c r="A50" s="10"/>
    </row>
    <row r="51" spans="1:1" x14ac:dyDescent="0.35">
      <c r="A51" s="10"/>
    </row>
    <row r="52" spans="1:1" x14ac:dyDescent="0.35">
      <c r="A52" s="10"/>
    </row>
    <row r="53" spans="1:1" x14ac:dyDescent="0.35">
      <c r="A53" s="10"/>
    </row>
    <row r="54" spans="1:1" x14ac:dyDescent="0.35">
      <c r="A54" s="10">
        <f>questionnaire!$A$9</f>
        <v>4</v>
      </c>
    </row>
    <row r="55" spans="1:1" x14ac:dyDescent="0.35">
      <c r="A55" s="10"/>
    </row>
    <row r="56" spans="1:1" x14ac:dyDescent="0.35">
      <c r="A56" s="10"/>
    </row>
    <row r="57" spans="1:1" x14ac:dyDescent="0.35">
      <c r="A57" s="10"/>
    </row>
    <row r="58" spans="1:1" x14ac:dyDescent="0.35">
      <c r="A58" s="10"/>
    </row>
    <row r="59" spans="1:1" x14ac:dyDescent="0.35">
      <c r="A59" s="10"/>
    </row>
    <row r="60" spans="1:1" x14ac:dyDescent="0.35">
      <c r="A60" s="10"/>
    </row>
    <row r="61" spans="1:1" x14ac:dyDescent="0.35">
      <c r="A61" s="10"/>
    </row>
    <row r="71" spans="1:1" x14ac:dyDescent="0.35">
      <c r="A71" s="8">
        <f>questionnaire!$A$10</f>
        <v>5</v>
      </c>
    </row>
    <row r="88" spans="1:1" x14ac:dyDescent="0.35">
      <c r="A88" s="8">
        <f>questionnaire!$A$11</f>
        <v>6</v>
      </c>
    </row>
    <row r="105" spans="1:1" x14ac:dyDescent="0.35">
      <c r="A105" s="8">
        <f>questionnaire!$A$12</f>
        <v>7</v>
      </c>
    </row>
    <row r="122" spans="1:1" x14ac:dyDescent="0.35">
      <c r="A122" s="8">
        <f>questionnaire!$A$13</f>
        <v>8</v>
      </c>
    </row>
    <row r="139" spans="1:1" x14ac:dyDescent="0.35">
      <c r="A139" s="8">
        <f>questionnaire!$A$14</f>
        <v>9</v>
      </c>
    </row>
    <row r="156" spans="1:1" x14ac:dyDescent="0.35">
      <c r="A156" s="8">
        <f>questionnaire!$A$15</f>
        <v>10</v>
      </c>
    </row>
    <row r="173" spans="1:1" x14ac:dyDescent="0.35">
      <c r="A173" s="8">
        <f>questionnaire!$A$16</f>
        <v>11</v>
      </c>
    </row>
  </sheetData>
  <sheetProtection sheet="1" objects="1" scenarios="1"/>
  <dataConsolidate/>
  <mergeCells count="3">
    <mergeCell ref="C1:D1"/>
    <mergeCell ref="E1:F1"/>
    <mergeCell ref="I1:J1"/>
  </mergeCells>
  <printOptions horizontalCentered="1" verticalCentered="1"/>
  <pageMargins left="0.78740157480314965" right="0.78740157480314965" top="0.59055118110236227" bottom="0.59055118110236227" header="0.31496062992125984" footer="0.19685039370078741"/>
  <pageSetup paperSize="9" scale="29" orientation="portrait" r:id="rId1"/>
  <headerFooter alignWithMargins="0">
    <oddHeader>&amp;CEnquête de satisfaction pour la formation</oddHeader>
    <oddFooter>&amp;L&amp;D&amp;C&amp;F - &amp;A&amp;RPage &amp;P/&amp;N</oddFooter>
  </headerFooter>
  <rowBreaks count="2" manualBreakCount="2">
    <brk id="104" man="1"/>
    <brk id="155" man="1"/>
  </row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254"/>
  <sheetViews>
    <sheetView showGridLines="0" zoomScale="90" zoomScaleNormal="90" zoomScaleSheetLayoutView="85" workbookViewId="0">
      <selection activeCell="C29" sqref="C29:K29"/>
    </sheetView>
  </sheetViews>
  <sheetFormatPr baseColWidth="10" defaultColWidth="17.21875" defaultRowHeight="14.4" x14ac:dyDescent="0.35"/>
  <cols>
    <col min="1" max="1" width="20.77734375" customWidth="1"/>
    <col min="2" max="2" width="18.77734375" style="41" customWidth="1"/>
    <col min="3" max="3" width="19.77734375" style="41" bestFit="1" customWidth="1"/>
    <col min="4" max="4" width="19.77734375" style="6" bestFit="1" customWidth="1"/>
    <col min="5" max="5" width="14" style="41" customWidth="1"/>
    <col min="6" max="6" width="12.33203125" style="41" customWidth="1"/>
    <col min="7" max="7" width="9.5546875" customWidth="1"/>
    <col min="8" max="8" width="12.21875" bestFit="1" customWidth="1"/>
    <col min="9" max="9" width="49.109375" customWidth="1"/>
    <col min="10" max="14" width="10.77734375" customWidth="1"/>
  </cols>
  <sheetData>
    <row r="1" spans="1:14" ht="55.2" customHeight="1" x14ac:dyDescent="0.35">
      <c r="A1" s="12" t="str">
        <f>questionnaire!$C$1</f>
        <v>Date début cours</v>
      </c>
      <c r="B1" s="40" t="str">
        <f>questionnaire!$A$1</f>
        <v>ID cours</v>
      </c>
      <c r="C1" s="40" t="str">
        <f>questionnaire!$C$2</f>
        <v>ID_formateur1</v>
      </c>
      <c r="D1" s="42" t="str">
        <f>questionnaire!$A$2</f>
        <v>Lieu formation</v>
      </c>
      <c r="E1" s="40" t="str">
        <f>questionnaire!$E$1</f>
        <v>Durée [H]</v>
      </c>
      <c r="F1" s="40" t="str">
        <f>questionnaire!$E$2</f>
        <v>Nb participants</v>
      </c>
      <c r="G1" s="43" t="str">
        <f>questionnaire!$A$5</f>
        <v>No</v>
      </c>
      <c r="H1" s="47" t="str">
        <f>questionnaire!$B$5</f>
        <v>Catégorie</v>
      </c>
      <c r="I1" s="12" t="str">
        <f>questionnaire!$C$5</f>
        <v>Question</v>
      </c>
      <c r="J1" s="12" t="str">
        <f>questionnaire!G4</f>
        <v>Tout à fait vrai</v>
      </c>
      <c r="K1" s="12" t="str">
        <f>questionnaire!H4</f>
        <v>Plutôt vrai</v>
      </c>
      <c r="L1" s="12" t="str">
        <f>questionnaire!I4</f>
        <v>Plutôt faux</v>
      </c>
      <c r="M1" s="12" t="str">
        <f>questionnaire!J4</f>
        <v>Tout à fait faux</v>
      </c>
      <c r="N1" s="12" t="str">
        <f>questionnaire!K4</f>
        <v>Indécis</v>
      </c>
    </row>
    <row r="2" spans="1:14" ht="25.95" customHeight="1" x14ac:dyDescent="0.35">
      <c r="A2" s="72" t="str">
        <f>IF(COUNTA(questionnaire!$C6),questionnaire!$D$1,"")</f>
        <v/>
      </c>
      <c r="B2" s="71" t="str">
        <f>IF(COUNTA(questionnaire!$C6),questionnaire!$B$1,"")</f>
        <v/>
      </c>
      <c r="C2" s="71" t="str">
        <f>IF(COUNTA(questionnaire!$C6),questionnaire!$D$2,"")</f>
        <v/>
      </c>
      <c r="D2" s="71" t="str">
        <f>IF(COUNTA(questionnaire!$C6),questionnaire!$B$2,"")</f>
        <v/>
      </c>
      <c r="E2" s="13" t="str">
        <f>IF(COUNTA(questionnaire!$C6),questionnaire!$F$1,"")</f>
        <v/>
      </c>
      <c r="F2" s="13" t="str">
        <f>IF(COUNTA(questionnaire!$C6),questionnaire!$F$2,"")</f>
        <v/>
      </c>
      <c r="G2" s="44">
        <f>IF(COUNTA(questionnaire!$C6),questionnaire!A6,"")</f>
        <v>1</v>
      </c>
      <c r="H2" s="73" t="str">
        <f>IF(COUNTA(questionnaire!$C6),questionnaire!B6,"")</f>
        <v>1-Didactique</v>
      </c>
      <c r="I2" s="70" t="str">
        <f>IF(COUNTA(questionnaire!$C6),questionnaire!C6,"")</f>
        <v>Les objectifs du cours étaient connus et ont été atteints</v>
      </c>
      <c r="J2" s="13">
        <f>IF(COUNTA(questionnaire!$C6),questionnaire!G6,"")</f>
        <v>0</v>
      </c>
      <c r="K2" s="14">
        <f>IF(COUNTA(questionnaire!$C6),questionnaire!H6,"")</f>
        <v>0</v>
      </c>
      <c r="L2" s="13">
        <f>IF(COUNTA(questionnaire!$C6),questionnaire!I6,"")</f>
        <v>0</v>
      </c>
      <c r="M2" s="13">
        <f>IF(COUNTA(questionnaire!$C6),questionnaire!J6,"")</f>
        <v>0</v>
      </c>
      <c r="N2" s="13">
        <f>IF(COUNTA(questionnaire!$C6),questionnaire!K6,"")</f>
        <v>0</v>
      </c>
    </row>
    <row r="3" spans="1:14" ht="25.95" customHeight="1" x14ac:dyDescent="0.35">
      <c r="A3" s="72" t="str">
        <f>IF(COUNTA(questionnaire!$C7),questionnaire!$D$1,"")</f>
        <v/>
      </c>
      <c r="B3" s="56" t="str">
        <f>IF(COUNTA(questionnaire!$C7),questionnaire!$B$1,"")</f>
        <v/>
      </c>
      <c r="C3" s="56" t="str">
        <f>IF(COUNTA(questionnaire!$C7),questionnaire!$D$2,"")</f>
        <v/>
      </c>
      <c r="D3" s="15" t="str">
        <f>IF(COUNTA(questionnaire!$C7),questionnaire!$B$2,"")</f>
        <v/>
      </c>
      <c r="E3" s="17" t="str">
        <f>IF(COUNTA(questionnaire!$C7),questionnaire!$F$1,"")</f>
        <v/>
      </c>
      <c r="F3" s="17" t="str">
        <f>IF(COUNTA(questionnaire!$C7),questionnaire!$F$2,"")</f>
        <v/>
      </c>
      <c r="G3" s="11">
        <f>IF(COUNTA(questionnaire!$C7),questionnaire!A7,"")</f>
        <v>2</v>
      </c>
      <c r="H3" s="73" t="str">
        <f>IF(COUNTA(questionnaire!$C7),questionnaire!B7,"")</f>
        <v>1-Didactique</v>
      </c>
      <c r="I3" s="70" t="str">
        <f>IF(COUNTA(questionnaire!$C7),questionnaire!C7,"")</f>
        <v>Le cours était bien structuré</v>
      </c>
      <c r="J3" s="13">
        <f>IF(COUNTA(questionnaire!$C7),questionnaire!G7,"")</f>
        <v>0</v>
      </c>
      <c r="K3" s="14">
        <f>IF(COUNTA(questionnaire!$C7),questionnaire!H7,"")</f>
        <v>0</v>
      </c>
      <c r="L3" s="13">
        <f>IF(COUNTA(questionnaire!$C7),questionnaire!I7,"")</f>
        <v>0</v>
      </c>
      <c r="M3" s="13">
        <f>IF(COUNTA(questionnaire!$C7),questionnaire!J7,"")</f>
        <v>0</v>
      </c>
      <c r="N3" s="13">
        <f>IF(COUNTA(questionnaire!$C7),questionnaire!K7,"")</f>
        <v>0</v>
      </c>
    </row>
    <row r="4" spans="1:14" ht="25.95" customHeight="1" x14ac:dyDescent="0.35">
      <c r="A4" s="72" t="str">
        <f>IF(COUNTA(questionnaire!$C8),questionnaire!$D$1,"")</f>
        <v/>
      </c>
      <c r="B4" s="56" t="str">
        <f>IF(COUNTA(questionnaire!$C8),questionnaire!$B$1,"")</f>
        <v/>
      </c>
      <c r="C4" s="56" t="str">
        <f>IF(COUNTA(questionnaire!$C8),questionnaire!$D$2,"")</f>
        <v/>
      </c>
      <c r="D4" s="15" t="str">
        <f>IF(COUNTA(questionnaire!$C8),questionnaire!$B$2,"")</f>
        <v/>
      </c>
      <c r="E4" s="17" t="str">
        <f>IF(COUNTA(questionnaire!$C8),questionnaire!$F$1,"")</f>
        <v/>
      </c>
      <c r="F4" s="17" t="str">
        <f>IF(COUNTA(questionnaire!$C8),questionnaire!$F$2,"")</f>
        <v/>
      </c>
      <c r="G4" s="11">
        <f>IF(COUNTA(questionnaire!$C8),questionnaire!A8,"")</f>
        <v>3</v>
      </c>
      <c r="H4" s="73" t="str">
        <f>IF(COUNTA(questionnaire!$C8),questionnaire!B8,"")</f>
        <v>1-Didactique</v>
      </c>
      <c r="I4" s="70" t="str">
        <f>IF(COUNTA(questionnaire!$C8),questionnaire!C8,"")</f>
        <v>Le contenu (y compris les notions complexes) était compréhensible</v>
      </c>
      <c r="J4" s="13">
        <f>IF(COUNTA(questionnaire!$C8),questionnaire!G8,"")</f>
        <v>0</v>
      </c>
      <c r="K4" s="14">
        <f>IF(COUNTA(questionnaire!$C8),questionnaire!H8,"")</f>
        <v>0</v>
      </c>
      <c r="L4" s="13">
        <f>IF(COUNTA(questionnaire!$C8),questionnaire!I8,"")</f>
        <v>0</v>
      </c>
      <c r="M4" s="13">
        <f>IF(COUNTA(questionnaire!$C8),questionnaire!J8,"")</f>
        <v>0</v>
      </c>
      <c r="N4" s="13">
        <f>IF(COUNTA(questionnaire!$C8),questionnaire!K8,"")</f>
        <v>0</v>
      </c>
    </row>
    <row r="5" spans="1:14" ht="25.95" customHeight="1" x14ac:dyDescent="0.35">
      <c r="A5" s="72" t="str">
        <f>IF(COUNTA(questionnaire!$C9),questionnaire!$D$1,"")</f>
        <v/>
      </c>
      <c r="B5" s="56" t="str">
        <f>IF(COUNTA(questionnaire!$C9),questionnaire!$B$1,"")</f>
        <v/>
      </c>
      <c r="C5" s="56" t="str">
        <f>IF(COUNTA(questionnaire!$C9),questionnaire!$D$2,"")</f>
        <v/>
      </c>
      <c r="D5" s="15" t="str">
        <f>IF(COUNTA(questionnaire!$C9),questionnaire!$B$2,"")</f>
        <v/>
      </c>
      <c r="E5" s="17" t="str">
        <f>IF(COUNTA(questionnaire!$C9),questionnaire!$F$1,"")</f>
        <v/>
      </c>
      <c r="F5" s="17" t="str">
        <f>IF(COUNTA(questionnaire!$C9),questionnaire!$F$2,"")</f>
        <v/>
      </c>
      <c r="G5" s="11">
        <f>IF(COUNTA(questionnaire!$C9),questionnaire!A9,"")</f>
        <v>4</v>
      </c>
      <c r="H5" s="73" t="str">
        <f>IF(COUNTA(questionnaire!$C9),questionnaire!B9,"")</f>
        <v>2-Andragogie</v>
      </c>
      <c r="I5" s="70" t="str">
        <f>IF(COUNTA(questionnaire!$C9),questionnaire!C9,"")</f>
        <v>La matière a été enseignée de manière intéressante</v>
      </c>
      <c r="J5" s="13">
        <f>IF(COUNTA(questionnaire!$C9),questionnaire!G9,"")</f>
        <v>0</v>
      </c>
      <c r="K5" s="14">
        <f>IF(COUNTA(questionnaire!$C9),questionnaire!H9,"")</f>
        <v>0</v>
      </c>
      <c r="L5" s="13">
        <f>IF(COUNTA(questionnaire!$C9),questionnaire!I9,"")</f>
        <v>0</v>
      </c>
      <c r="M5" s="13">
        <f>IF(COUNTA(questionnaire!$C9),questionnaire!J9,"")</f>
        <v>0</v>
      </c>
      <c r="N5" s="13">
        <f>IF(COUNTA(questionnaire!$C9),questionnaire!K9,"")</f>
        <v>0</v>
      </c>
    </row>
    <row r="6" spans="1:14" ht="25.95" customHeight="1" x14ac:dyDescent="0.35">
      <c r="A6" s="72" t="str">
        <f>IF(COUNTA(questionnaire!$C10),questionnaire!$D$1,"")</f>
        <v/>
      </c>
      <c r="B6" s="56" t="str">
        <f>IF(COUNTA(questionnaire!$C10),questionnaire!$B$1,"")</f>
        <v/>
      </c>
      <c r="C6" s="56" t="str">
        <f>IF(COUNTA(questionnaire!$C10),questionnaire!$D$2,"")</f>
        <v/>
      </c>
      <c r="D6" s="15" t="str">
        <f>IF(COUNTA(questionnaire!$C10),questionnaire!$B$2,"")</f>
        <v/>
      </c>
      <c r="E6" s="17" t="str">
        <f>IF(COUNTA(questionnaire!$C10),questionnaire!$F$1,"")</f>
        <v/>
      </c>
      <c r="F6" s="17" t="str">
        <f>IF(COUNTA(questionnaire!$C10),questionnaire!$F$2,"")</f>
        <v/>
      </c>
      <c r="G6" s="11">
        <f>IF(COUNTA(questionnaire!$C10),questionnaire!A10,"")</f>
        <v>5</v>
      </c>
      <c r="H6" s="73" t="str">
        <f>IF(COUNTA(questionnaire!$C10),questionnaire!B10,"")</f>
        <v>2-Andragogie</v>
      </c>
      <c r="I6" s="70" t="str">
        <f>IF(COUNTA(questionnaire!$C10),questionnaire!C10,"")</f>
        <v>Le rythme était adapté au cours</v>
      </c>
      <c r="J6" s="13">
        <f>IF(COUNTA(questionnaire!$C10),questionnaire!G10,"")</f>
        <v>0</v>
      </c>
      <c r="K6" s="14">
        <f>IF(COUNTA(questionnaire!$C10),questionnaire!H10,"")</f>
        <v>0</v>
      </c>
      <c r="L6" s="13">
        <f>IF(COUNTA(questionnaire!$C10),questionnaire!I10,"")</f>
        <v>0</v>
      </c>
      <c r="M6" s="13">
        <f>IF(COUNTA(questionnaire!$C10),questionnaire!J10,"")</f>
        <v>0</v>
      </c>
      <c r="N6" s="13">
        <f>IF(COUNTA(questionnaire!$C10),questionnaire!K10,"")</f>
        <v>0</v>
      </c>
    </row>
    <row r="7" spans="1:14" ht="25.95" customHeight="1" x14ac:dyDescent="0.35">
      <c r="A7" s="72" t="str">
        <f>IF(COUNTA(questionnaire!$C11),questionnaire!$D$1,"")</f>
        <v/>
      </c>
      <c r="B7" s="56" t="str">
        <f>IF(COUNTA(questionnaire!$C11),questionnaire!$B$1,"")</f>
        <v/>
      </c>
      <c r="C7" s="56" t="str">
        <f>IF(COUNTA(questionnaire!$C11),questionnaire!$D$2,"")</f>
        <v/>
      </c>
      <c r="D7" s="15" t="str">
        <f>IF(COUNTA(questionnaire!$C11),questionnaire!$B$2,"")</f>
        <v/>
      </c>
      <c r="E7" s="17" t="str">
        <f>IF(COUNTA(questionnaire!$C11),questionnaire!$F$1,"")</f>
        <v/>
      </c>
      <c r="F7" s="17" t="str">
        <f>IF(COUNTA(questionnaire!$C11),questionnaire!$F$2,"")</f>
        <v/>
      </c>
      <c r="G7" s="11">
        <f>IF(COUNTA(questionnaire!$C11),questionnaire!A11,"")</f>
        <v>6</v>
      </c>
      <c r="H7" s="73" t="str">
        <f>IF(COUNTA(questionnaire!$C11),questionnaire!B11,"")</f>
        <v>2-Andragogie</v>
      </c>
      <c r="I7" s="70" t="str">
        <f>IF(COUNTA(questionnaire!$C11),questionnaire!C11,"")</f>
        <v>Le temps disponible était adapté aux objectifs du cours et de la formation</v>
      </c>
      <c r="J7" s="13">
        <f>IF(COUNTA(questionnaire!$C11),questionnaire!G11,"")</f>
        <v>0</v>
      </c>
      <c r="K7" s="14">
        <f>IF(COUNTA(questionnaire!$C11),questionnaire!H11,"")</f>
        <v>0</v>
      </c>
      <c r="L7" s="13">
        <f>IF(COUNTA(questionnaire!$C11),questionnaire!I11,"")</f>
        <v>0</v>
      </c>
      <c r="M7" s="13">
        <f>IF(COUNTA(questionnaire!$C11),questionnaire!J11,"")</f>
        <v>0</v>
      </c>
      <c r="N7" s="13">
        <f>IF(COUNTA(questionnaire!$C11),questionnaire!K11,"")</f>
        <v>0</v>
      </c>
    </row>
    <row r="8" spans="1:14" ht="25.95" customHeight="1" x14ac:dyDescent="0.35">
      <c r="A8" s="72" t="str">
        <f>IF(COUNTA(questionnaire!$C12),questionnaire!$D$1,"")</f>
        <v/>
      </c>
      <c r="B8" s="56" t="str">
        <f>IF(COUNTA(questionnaire!$C12),questionnaire!$B$1,"")</f>
        <v/>
      </c>
      <c r="C8" s="56" t="str">
        <f>IF(COUNTA(questionnaire!$C12),questionnaire!$D$2,"")</f>
        <v/>
      </c>
      <c r="D8" s="15" t="str">
        <f>IF(COUNTA(questionnaire!$C12),questionnaire!$B$2,"")</f>
        <v/>
      </c>
      <c r="E8" s="17" t="str">
        <f>IF(COUNTA(questionnaire!$C12),questionnaire!$F$1,"")</f>
        <v/>
      </c>
      <c r="F8" s="17" t="str">
        <f>IF(COUNTA(questionnaire!$C12),questionnaire!$F$2,"")</f>
        <v/>
      </c>
      <c r="G8" s="11">
        <f>IF(COUNTA(questionnaire!$C12),questionnaire!A12,"")</f>
        <v>7</v>
      </c>
      <c r="H8" s="73" t="str">
        <f>IF(COUNTA(questionnaire!$C12),questionnaire!B12,"")</f>
        <v>3-Animation</v>
      </c>
      <c r="I8" s="70" t="str">
        <f>IF(COUNTA(questionnaire!$C12),questionnaire!C12,"")</f>
        <v>L'enseignant possèdait bien la matière enseignée</v>
      </c>
      <c r="J8" s="13">
        <f>IF(COUNTA(questionnaire!$C12),questionnaire!G12,"")</f>
        <v>0</v>
      </c>
      <c r="K8" s="14">
        <f>IF(COUNTA(questionnaire!$C12),questionnaire!H12,"")</f>
        <v>0</v>
      </c>
      <c r="L8" s="13">
        <f>IF(COUNTA(questionnaire!$C12),questionnaire!I12,"")</f>
        <v>0</v>
      </c>
      <c r="M8" s="13">
        <f>IF(COUNTA(questionnaire!$C12),questionnaire!J12,"")</f>
        <v>0</v>
      </c>
      <c r="N8" s="13">
        <f>IF(COUNTA(questionnaire!$C12),questionnaire!K12,"")</f>
        <v>0</v>
      </c>
    </row>
    <row r="9" spans="1:14" ht="25.95" customHeight="1" x14ac:dyDescent="0.35">
      <c r="A9" s="72" t="str">
        <f>IF(COUNTA(questionnaire!$C13),questionnaire!$D$1,"")</f>
        <v/>
      </c>
      <c r="B9" s="56" t="str">
        <f>IF(COUNTA(questionnaire!$C13),questionnaire!$B$1,"")</f>
        <v/>
      </c>
      <c r="C9" s="56" t="str">
        <f>IF(COUNTA(questionnaire!$C13),questionnaire!$D$2,"")</f>
        <v/>
      </c>
      <c r="D9" s="15" t="str">
        <f>IF(COUNTA(questionnaire!$C13),questionnaire!$B$2,"")</f>
        <v/>
      </c>
      <c r="E9" s="17" t="str">
        <f>IF(COUNTA(questionnaire!$C13),questionnaire!$F$1,"")</f>
        <v/>
      </c>
      <c r="F9" s="17" t="str">
        <f>IF(COUNTA(questionnaire!$C13),questionnaire!$F$2,"")</f>
        <v/>
      </c>
      <c r="G9" s="11">
        <f>IF(COUNTA(questionnaire!$C13),questionnaire!A13,"")</f>
        <v>8</v>
      </c>
      <c r="H9" s="73" t="str">
        <f>IF(COUNTA(questionnaire!$C13),questionnaire!B13,"")</f>
        <v>4-Avis perso</v>
      </c>
      <c r="I9" s="70" t="str">
        <f>IF(COUNTA(questionnaire!$C13),questionnaire!C13,"")</f>
        <v>J'ai pu enrichir mes connaissances et ma réflexion</v>
      </c>
      <c r="J9" s="13">
        <f>IF(COUNTA(questionnaire!$C13),questionnaire!G13,"")</f>
        <v>0</v>
      </c>
      <c r="K9" s="14">
        <f>IF(COUNTA(questionnaire!$C13),questionnaire!H13,"")</f>
        <v>0</v>
      </c>
      <c r="L9" s="13">
        <f>IF(COUNTA(questionnaire!$C13),questionnaire!I13,"")</f>
        <v>0</v>
      </c>
      <c r="M9" s="13">
        <f>IF(COUNTA(questionnaire!$C13),questionnaire!J13,"")</f>
        <v>0</v>
      </c>
      <c r="N9" s="13">
        <f>IF(COUNTA(questionnaire!$C13),questionnaire!K13,"")</f>
        <v>0</v>
      </c>
    </row>
    <row r="10" spans="1:14" ht="25.95" customHeight="1" x14ac:dyDescent="0.35">
      <c r="A10" s="72" t="str">
        <f>IF(COUNTA(questionnaire!$C14),questionnaire!$D$1,"")</f>
        <v/>
      </c>
      <c r="B10" s="56" t="str">
        <f>IF(COUNTA(questionnaire!$C14),questionnaire!$B$1,"")</f>
        <v/>
      </c>
      <c r="C10" s="56" t="str">
        <f>IF(COUNTA(questionnaire!$C14),questionnaire!$D$2,"")</f>
        <v/>
      </c>
      <c r="D10" s="15" t="str">
        <f>IF(COUNTA(questionnaire!$C14),questionnaire!$B$2,"")</f>
        <v/>
      </c>
      <c r="E10" s="17" t="str">
        <f>IF(COUNTA(questionnaire!$C14),questionnaire!$F$1,"")</f>
        <v/>
      </c>
      <c r="F10" s="17" t="str">
        <f>IF(COUNTA(questionnaire!$C14),questionnaire!$F$2,"")</f>
        <v/>
      </c>
      <c r="G10" s="11">
        <f>IF(COUNTA(questionnaire!$C14),questionnaire!A14,"")</f>
        <v>9</v>
      </c>
      <c r="H10" s="73" t="str">
        <f>IF(COUNTA(questionnaire!$C14),questionnaire!B14,"")</f>
        <v>4-Avis perso</v>
      </c>
      <c r="I10" s="70" t="str">
        <f>IF(COUNTA(questionnaire!$C14),questionnaire!C14,"")</f>
        <v>J'ai acquis des outils supplémentaires pour ma pratique quotidienne</v>
      </c>
      <c r="J10" s="13">
        <f>IF(COUNTA(questionnaire!$C14),questionnaire!G14,"")</f>
        <v>0</v>
      </c>
      <c r="K10" s="14">
        <f>IF(COUNTA(questionnaire!$C14),questionnaire!H14,"")</f>
        <v>0</v>
      </c>
      <c r="L10" s="13">
        <f>IF(COUNTA(questionnaire!$C14),questionnaire!I14,"")</f>
        <v>0</v>
      </c>
      <c r="M10" s="13">
        <f>IF(COUNTA(questionnaire!$C14),questionnaire!J14,"")</f>
        <v>0</v>
      </c>
      <c r="N10" s="13">
        <f>IF(COUNTA(questionnaire!$C14),questionnaire!K14,"")</f>
        <v>0</v>
      </c>
    </row>
    <row r="11" spans="1:14" ht="25.95" customHeight="1" x14ac:dyDescent="0.35">
      <c r="A11" s="72" t="str">
        <f>IF(COUNTA(questionnaire!$C15),questionnaire!$D$1,"")</f>
        <v/>
      </c>
      <c r="B11" s="56" t="str">
        <f>IF(COUNTA(questionnaire!$C15),questionnaire!$B$1,"")</f>
        <v/>
      </c>
      <c r="C11" s="56" t="str">
        <f>IF(COUNTA(questionnaire!$C15),questionnaire!$D$2,"")</f>
        <v/>
      </c>
      <c r="D11" s="15" t="str">
        <f>IF(COUNTA(questionnaire!$C15),questionnaire!$B$2,"")</f>
        <v/>
      </c>
      <c r="E11" s="17" t="str">
        <f>IF(COUNTA(questionnaire!$C15),questionnaire!$F$1,"")</f>
        <v/>
      </c>
      <c r="F11" s="17" t="str">
        <f>IF(COUNTA(questionnaire!$C15),questionnaire!$F$2,"")</f>
        <v/>
      </c>
      <c r="G11" s="11">
        <f>IF(COUNTA(questionnaire!$C15),questionnaire!A15,"")</f>
        <v>10</v>
      </c>
      <c r="H11" s="73" t="str">
        <f>IF(COUNTA(questionnaire!$C15),questionnaire!B15,"")</f>
        <v>4-Avis perso</v>
      </c>
      <c r="I11" s="70" t="str">
        <f>IF(COUNTA(questionnaire!$C15),questionnaire!C15,"")</f>
        <v>J'ai pu prendre une part active au cours</v>
      </c>
      <c r="J11" s="13">
        <f>IF(COUNTA(questionnaire!$C15),questionnaire!G15,"")</f>
        <v>0</v>
      </c>
      <c r="K11" s="14">
        <f>IF(COUNTA(questionnaire!$C15),questionnaire!H15,"")</f>
        <v>0</v>
      </c>
      <c r="L11" s="13">
        <f>IF(COUNTA(questionnaire!$C15),questionnaire!I15,"")</f>
        <v>0</v>
      </c>
      <c r="M11" s="13">
        <f>IF(COUNTA(questionnaire!$C15),questionnaire!J15,"")</f>
        <v>0</v>
      </c>
      <c r="N11" s="13">
        <f>IF(COUNTA(questionnaire!$C15),questionnaire!K15,"")</f>
        <v>0</v>
      </c>
    </row>
    <row r="12" spans="1:14" ht="25.95" customHeight="1" x14ac:dyDescent="0.35">
      <c r="A12" s="72" t="str">
        <f>IF(COUNTA(questionnaire!$C16),questionnaire!$D$1,"")</f>
        <v/>
      </c>
      <c r="B12" s="56" t="str">
        <f>IF(COUNTA(questionnaire!$C16),questionnaire!$B$1,"")</f>
        <v/>
      </c>
      <c r="C12" s="56" t="str">
        <f>IF(COUNTA(questionnaire!$C16),questionnaire!$D$2,"")</f>
        <v/>
      </c>
      <c r="D12" s="15" t="str">
        <f>IF(COUNTA(questionnaire!$C16),questionnaire!$B$2,"")</f>
        <v/>
      </c>
      <c r="E12" s="17" t="str">
        <f>IF(COUNTA(questionnaire!$C16),questionnaire!$F$1,"")</f>
        <v/>
      </c>
      <c r="F12" s="17" t="str">
        <f>IF(COUNTA(questionnaire!$C16),questionnaire!$F$2,"")</f>
        <v/>
      </c>
      <c r="G12" s="11">
        <f>IF(COUNTA(questionnaire!$C16),questionnaire!A16,"")</f>
        <v>11</v>
      </c>
      <c r="H12" s="73" t="str">
        <f>IF(COUNTA(questionnaire!$C16),questionnaire!B16,"")</f>
        <v>4-Avis perso</v>
      </c>
      <c r="I12" s="70" t="str">
        <f>IF(COUNTA(questionnaire!$C16),questionnaire!C16,"")</f>
        <v>Impression générale</v>
      </c>
      <c r="J12" s="13">
        <f>IF(COUNTA(questionnaire!$C16),questionnaire!G16,"")</f>
        <v>0</v>
      </c>
      <c r="K12" s="14">
        <f>IF(COUNTA(questionnaire!$C16),questionnaire!H16,"")</f>
        <v>0</v>
      </c>
      <c r="L12" s="13">
        <f>IF(COUNTA(questionnaire!$C16),questionnaire!I16,"")</f>
        <v>0</v>
      </c>
      <c r="M12" s="13">
        <f>IF(COUNTA(questionnaire!$C16),questionnaire!J16,"")</f>
        <v>0</v>
      </c>
      <c r="N12" s="13">
        <f>IF(COUNTA(questionnaire!$C16),questionnaire!K16,"")</f>
        <v>0</v>
      </c>
    </row>
    <row r="13" spans="1:14" ht="25.95" hidden="1" customHeight="1" x14ac:dyDescent="0.35">
      <c r="A13" s="16" t="str">
        <f>IF(COUNTA(questionnaire!$C17),questionnaire!$D$1,"")</f>
        <v/>
      </c>
      <c r="B13" s="56" t="str">
        <f>IF(COUNTA(questionnaire!$C17),questionnaire!$B$1,"")</f>
        <v/>
      </c>
      <c r="C13" s="56" t="str">
        <f>IF(COUNTA(questionnaire!$C17),questionnaire!$D$2,"")</f>
        <v/>
      </c>
      <c r="D13" s="15" t="str">
        <f>IF(COUNTA(questionnaire!$C17),questionnaire!$B$2,"")</f>
        <v/>
      </c>
      <c r="E13" s="17" t="str">
        <f>IF(COUNTA(questionnaire!$C17),questionnaire!$F$1,"")</f>
        <v/>
      </c>
      <c r="F13" s="17" t="str">
        <f>IF(COUNTA(questionnaire!$C17),questionnaire!$F$2,"")</f>
        <v/>
      </c>
      <c r="G13" s="11" t="str">
        <f>IF(COUNTA(questionnaire!$C17),questionnaire!A17,"")</f>
        <v/>
      </c>
      <c r="H13" s="11" t="str">
        <f>IF(COUNTA(questionnaire!$C17),questionnaire!B17,"")</f>
        <v/>
      </c>
      <c r="I13" s="44" t="str">
        <f>IF(COUNTA(questionnaire!$C17),questionnaire!C17,"")</f>
        <v/>
      </c>
      <c r="J13" s="13" t="str">
        <f>IF(COUNTA(questionnaire!$C17),questionnaire!G17,"")</f>
        <v/>
      </c>
      <c r="K13" s="14" t="str">
        <f>IF(COUNTA(questionnaire!$C17),questionnaire!H17,"")</f>
        <v/>
      </c>
      <c r="L13" s="13" t="str">
        <f>IF(COUNTA(questionnaire!$C17),questionnaire!I17,"")</f>
        <v/>
      </c>
      <c r="M13" s="13" t="str">
        <f>IF(COUNTA(questionnaire!$C17),questionnaire!J17,"")</f>
        <v/>
      </c>
      <c r="N13" s="13" t="str">
        <f>IF(COUNTA(questionnaire!$C17),questionnaire!K17,"")</f>
        <v/>
      </c>
    </row>
    <row r="14" spans="1:14" ht="25.95" hidden="1" customHeight="1" x14ac:dyDescent="0.35">
      <c r="A14" s="16" t="str">
        <f>IF(COUNTA(questionnaire!$C18),questionnaire!$D$1,"")</f>
        <v/>
      </c>
      <c r="B14" s="56" t="str">
        <f>IF(COUNTA(questionnaire!$C18),questionnaire!$B$1,"")</f>
        <v/>
      </c>
      <c r="C14" s="56" t="str">
        <f>IF(COUNTA(questionnaire!$C18),questionnaire!$D$2,"")</f>
        <v/>
      </c>
      <c r="D14" s="15" t="str">
        <f>IF(COUNTA(questionnaire!$C18),questionnaire!$B$2,"")</f>
        <v/>
      </c>
      <c r="E14" s="17" t="str">
        <f>IF(COUNTA(questionnaire!$C18),questionnaire!$F$1,"")</f>
        <v/>
      </c>
      <c r="F14" s="17" t="str">
        <f>IF(COUNTA(questionnaire!$C18),questionnaire!$F$2,"")</f>
        <v/>
      </c>
      <c r="G14" s="11" t="str">
        <f>IF(COUNTA(questionnaire!$C18),questionnaire!A18,"")</f>
        <v/>
      </c>
      <c r="H14" s="11" t="str">
        <f>IF(COUNTA(questionnaire!$C18),questionnaire!B18,"")</f>
        <v/>
      </c>
      <c r="I14" s="44" t="str">
        <f>IF(COUNTA(questionnaire!$C18),questionnaire!C18,"")</f>
        <v/>
      </c>
      <c r="J14" s="13" t="str">
        <f>IF(COUNTA(questionnaire!$C18),questionnaire!G18,"")</f>
        <v/>
      </c>
      <c r="K14" s="14" t="str">
        <f>IF(COUNTA(questionnaire!$C18),questionnaire!H18,"")</f>
        <v/>
      </c>
      <c r="L14" s="13" t="str">
        <f>IF(COUNTA(questionnaire!$C18),questionnaire!I18,"")</f>
        <v/>
      </c>
      <c r="M14" s="13" t="str">
        <f>IF(COUNTA(questionnaire!$C18),questionnaire!J18,"")</f>
        <v/>
      </c>
      <c r="N14" s="13" t="str">
        <f>IF(COUNTA(questionnaire!$C18),questionnaire!K18,"")</f>
        <v/>
      </c>
    </row>
    <row r="15" spans="1:14" ht="25.95" hidden="1" customHeight="1" x14ac:dyDescent="0.35">
      <c r="A15" s="16" t="str">
        <f>IF(COUNTA(questionnaire!$C19),questionnaire!$D$1,"")</f>
        <v/>
      </c>
      <c r="B15" s="56" t="str">
        <f>IF(COUNTA(questionnaire!$C19),questionnaire!$B$1,"")</f>
        <v/>
      </c>
      <c r="C15" s="56" t="str">
        <f>IF(COUNTA(questionnaire!$C19),questionnaire!$D$2,"")</f>
        <v/>
      </c>
      <c r="D15" s="15" t="str">
        <f>IF(COUNTA(questionnaire!$C19),questionnaire!$B$2,"")</f>
        <v/>
      </c>
      <c r="E15" s="17" t="str">
        <f>IF(COUNTA(questionnaire!$C19),questionnaire!$F$1,"")</f>
        <v/>
      </c>
      <c r="F15" s="17" t="str">
        <f>IF(COUNTA(questionnaire!$C19),questionnaire!$F$2,"")</f>
        <v/>
      </c>
      <c r="G15" s="11" t="str">
        <f>IF(COUNTA(questionnaire!$C19),questionnaire!A19,"")</f>
        <v/>
      </c>
      <c r="H15" s="11" t="str">
        <f>IF(COUNTA(questionnaire!$C19),questionnaire!B19,"")</f>
        <v/>
      </c>
      <c r="I15" s="44" t="str">
        <f>IF(COUNTA(questionnaire!$C19),questionnaire!C19,"")</f>
        <v/>
      </c>
      <c r="J15" s="13" t="str">
        <f>IF(COUNTA(questionnaire!$C19),questionnaire!G19,"")</f>
        <v/>
      </c>
      <c r="K15" s="14" t="str">
        <f>IF(COUNTA(questionnaire!$C19),questionnaire!H19,"")</f>
        <v/>
      </c>
      <c r="L15" s="13" t="str">
        <f>IF(COUNTA(questionnaire!$C19),questionnaire!I19,"")</f>
        <v/>
      </c>
      <c r="M15" s="13" t="str">
        <f>IF(COUNTA(questionnaire!$C19),questionnaire!J19,"")</f>
        <v/>
      </c>
      <c r="N15" s="13" t="str">
        <f>IF(COUNTA(questionnaire!$C19),questionnaire!K19,"")</f>
        <v/>
      </c>
    </row>
    <row r="16" spans="1:14" ht="25.95" hidden="1" customHeight="1" x14ac:dyDescent="0.35">
      <c r="A16" s="16" t="str">
        <f>IF(COUNTA(questionnaire!$C20),questionnaire!$D$1,"")</f>
        <v/>
      </c>
      <c r="B16" s="56" t="str">
        <f>IF(COUNTA(questionnaire!$C20),questionnaire!$B$1,"")</f>
        <v/>
      </c>
      <c r="C16" s="56" t="str">
        <f>IF(COUNTA(questionnaire!$C20),questionnaire!$D$2,"")</f>
        <v/>
      </c>
      <c r="D16" s="15" t="str">
        <f>IF(COUNTA(questionnaire!$C20),questionnaire!$B$2,"")</f>
        <v/>
      </c>
      <c r="E16" s="17" t="str">
        <f>IF(COUNTA(questionnaire!$C20),questionnaire!$F$1,"")</f>
        <v/>
      </c>
      <c r="F16" s="17" t="str">
        <f>IF(COUNTA(questionnaire!$C20),questionnaire!$F$2,"")</f>
        <v/>
      </c>
      <c r="G16" s="11" t="str">
        <f>IF(COUNTA(questionnaire!$C20),questionnaire!A20,"")</f>
        <v/>
      </c>
      <c r="H16" s="11" t="str">
        <f>IF(COUNTA(questionnaire!$C20),questionnaire!B20,"")</f>
        <v/>
      </c>
      <c r="I16" s="44" t="str">
        <f>IF(COUNTA(questionnaire!$C20),questionnaire!C20,"")</f>
        <v/>
      </c>
      <c r="J16" s="13" t="str">
        <f>IF(COUNTA(questionnaire!$C20),questionnaire!G20,"")</f>
        <v/>
      </c>
      <c r="K16" s="14" t="str">
        <f>IF(COUNTA(questionnaire!$C20),questionnaire!H20,"")</f>
        <v/>
      </c>
      <c r="L16" s="13" t="str">
        <f>IF(COUNTA(questionnaire!$C20),questionnaire!I20,"")</f>
        <v/>
      </c>
      <c r="M16" s="13" t="str">
        <f>IF(COUNTA(questionnaire!$C20),questionnaire!J20,"")</f>
        <v/>
      </c>
      <c r="N16" s="13" t="str">
        <f>IF(COUNTA(questionnaire!$C20),questionnaire!K20,"")</f>
        <v/>
      </c>
    </row>
    <row r="17" spans="1:14" ht="25.95" hidden="1" customHeight="1" x14ac:dyDescent="0.35">
      <c r="A17" s="16" t="str">
        <f>IF(COUNTA(questionnaire!$C21),questionnaire!$D$1,"")</f>
        <v/>
      </c>
      <c r="B17" s="56" t="str">
        <f>IF(COUNTA(questionnaire!$C21),questionnaire!$B$1,"")</f>
        <v/>
      </c>
      <c r="C17" s="56" t="str">
        <f>IF(COUNTA(questionnaire!$C21),questionnaire!$D$2,"")</f>
        <v/>
      </c>
      <c r="D17" s="15" t="str">
        <f>IF(COUNTA(questionnaire!$C21),questionnaire!$B$2,"")</f>
        <v/>
      </c>
      <c r="E17" s="17" t="str">
        <f>IF(COUNTA(questionnaire!$C21),questionnaire!$F$1,"")</f>
        <v/>
      </c>
      <c r="F17" s="17" t="str">
        <f>IF(COUNTA(questionnaire!$C21),questionnaire!$F$2,"")</f>
        <v/>
      </c>
      <c r="G17" s="11" t="str">
        <f>IF(COUNTA(questionnaire!$C21),questionnaire!A21,"")</f>
        <v/>
      </c>
      <c r="H17" s="11" t="str">
        <f>IF(COUNTA(questionnaire!$C21),questionnaire!B21,"")</f>
        <v/>
      </c>
      <c r="I17" s="44" t="str">
        <f>IF(COUNTA(questionnaire!$C21),questionnaire!C21,"")</f>
        <v/>
      </c>
      <c r="J17" s="13" t="str">
        <f>IF(COUNTA(questionnaire!$C21),questionnaire!G21,"")</f>
        <v/>
      </c>
      <c r="K17" s="14" t="str">
        <f>IF(COUNTA(questionnaire!$C21),questionnaire!H21,"")</f>
        <v/>
      </c>
      <c r="L17" s="13" t="str">
        <f>IF(COUNTA(questionnaire!$C21),questionnaire!I21,"")</f>
        <v/>
      </c>
      <c r="M17" s="13" t="str">
        <f>IF(COUNTA(questionnaire!$C21),questionnaire!J21,"")</f>
        <v/>
      </c>
      <c r="N17" s="13" t="str">
        <f>IF(COUNTA(questionnaire!$C21),questionnaire!K21,"")</f>
        <v/>
      </c>
    </row>
    <row r="18" spans="1:14" ht="25.95" hidden="1" customHeight="1" x14ac:dyDescent="0.35">
      <c r="A18" s="16" t="str">
        <f>IF(COUNTA(questionnaire!$C22),questionnaire!$D$1,"")</f>
        <v/>
      </c>
      <c r="B18" s="56" t="str">
        <f>IF(COUNTA(questionnaire!$C22),questionnaire!$B$1,"")</f>
        <v/>
      </c>
      <c r="C18" s="56" t="str">
        <f>IF(COUNTA(questionnaire!$C22),questionnaire!$D$2,"")</f>
        <v/>
      </c>
      <c r="D18" s="15" t="str">
        <f>IF(COUNTA(questionnaire!$C22),questionnaire!$B$2,"")</f>
        <v/>
      </c>
      <c r="E18" s="17" t="str">
        <f>IF(COUNTA(questionnaire!$C22),questionnaire!$F$1,"")</f>
        <v/>
      </c>
      <c r="F18" s="17" t="str">
        <f>IF(COUNTA(questionnaire!$C22),questionnaire!$F$2,"")</f>
        <v/>
      </c>
      <c r="G18" s="11" t="str">
        <f>IF(COUNTA(questionnaire!$C22),questionnaire!A22,"")</f>
        <v/>
      </c>
      <c r="H18" s="11" t="str">
        <f>IF(COUNTA(questionnaire!$C22),questionnaire!B22,"")</f>
        <v/>
      </c>
      <c r="I18" s="44" t="str">
        <f>IF(COUNTA(questionnaire!$C22),questionnaire!C22,"")</f>
        <v/>
      </c>
      <c r="J18" s="13" t="str">
        <f>IF(COUNTA(questionnaire!$C22),questionnaire!G22,"")</f>
        <v/>
      </c>
      <c r="K18" s="14" t="str">
        <f>IF(COUNTA(questionnaire!$C22),questionnaire!H22,"")</f>
        <v/>
      </c>
      <c r="L18" s="13" t="str">
        <f>IF(COUNTA(questionnaire!$C22),questionnaire!I22,"")</f>
        <v/>
      </c>
      <c r="M18" s="13" t="str">
        <f>IF(COUNTA(questionnaire!$C22),questionnaire!J22,"")</f>
        <v/>
      </c>
      <c r="N18" s="13" t="str">
        <f>IF(COUNTA(questionnaire!$C22),questionnaire!K22,"")</f>
        <v/>
      </c>
    </row>
    <row r="19" spans="1:14" ht="25.95" hidden="1" customHeight="1" x14ac:dyDescent="0.35">
      <c r="A19" s="16" t="str">
        <f>IF(COUNTA(questionnaire!$C23),questionnaire!$D$1,"")</f>
        <v/>
      </c>
      <c r="B19" s="56" t="str">
        <f>IF(COUNTA(questionnaire!$C23),questionnaire!$B$1,"")</f>
        <v/>
      </c>
      <c r="C19" s="56" t="str">
        <f>IF(COUNTA(questionnaire!$C23),questionnaire!$D$2,"")</f>
        <v/>
      </c>
      <c r="D19" s="15" t="str">
        <f>IF(COUNTA(questionnaire!$C23),questionnaire!$B$2,"")</f>
        <v/>
      </c>
      <c r="E19" s="17" t="str">
        <f>IF(COUNTA(questionnaire!$C23),questionnaire!$F$1,"")</f>
        <v/>
      </c>
      <c r="F19" s="17" t="str">
        <f>IF(COUNTA(questionnaire!$C23),questionnaire!$F$2,"")</f>
        <v/>
      </c>
      <c r="G19" s="11" t="str">
        <f>IF(COUNTA(questionnaire!$C23),questionnaire!A23,"")</f>
        <v/>
      </c>
      <c r="H19" s="11" t="str">
        <f>IF(COUNTA(questionnaire!$C23),questionnaire!B23,"")</f>
        <v/>
      </c>
      <c r="I19" s="44" t="str">
        <f>IF(COUNTA(questionnaire!$C23),questionnaire!C23,"")</f>
        <v/>
      </c>
      <c r="J19" s="13" t="str">
        <f>IF(COUNTA(questionnaire!$C23),questionnaire!G23,"")</f>
        <v/>
      </c>
      <c r="K19" s="14" t="str">
        <f>IF(COUNTA(questionnaire!$C23),questionnaire!H23,"")</f>
        <v/>
      </c>
      <c r="L19" s="13" t="str">
        <f>IF(COUNTA(questionnaire!$C23),questionnaire!I23,"")</f>
        <v/>
      </c>
      <c r="M19" s="13" t="str">
        <f>IF(COUNTA(questionnaire!$C23),questionnaire!J23,"")</f>
        <v/>
      </c>
      <c r="N19" s="13" t="str">
        <f>IF(COUNTA(questionnaire!$C23),questionnaire!K23,"")</f>
        <v/>
      </c>
    </row>
    <row r="20" spans="1:14" ht="25.95" hidden="1" customHeight="1" x14ac:dyDescent="0.35">
      <c r="A20" s="16" t="str">
        <f>IF(COUNTA(questionnaire!$C24),questionnaire!$D$1,"")</f>
        <v/>
      </c>
      <c r="B20" s="56" t="str">
        <f>IF(COUNTA(questionnaire!$C24),questionnaire!$B$1,"")</f>
        <v/>
      </c>
      <c r="C20" s="56" t="str">
        <f>IF(COUNTA(questionnaire!$C24),questionnaire!$D$2,"")</f>
        <v/>
      </c>
      <c r="D20" s="15" t="str">
        <f>IF(COUNTA(questionnaire!$C24),questionnaire!$B$2,"")</f>
        <v/>
      </c>
      <c r="E20" s="17" t="str">
        <f>IF(COUNTA(questionnaire!$C24),questionnaire!$F$1,"")</f>
        <v/>
      </c>
      <c r="F20" s="17" t="str">
        <f>IF(COUNTA(questionnaire!$C24),questionnaire!$F$2,"")</f>
        <v/>
      </c>
      <c r="G20" s="11" t="str">
        <f>IF(COUNTA(questionnaire!$C24),questionnaire!A24,"")</f>
        <v/>
      </c>
      <c r="H20" s="11" t="str">
        <f>IF(COUNTA(questionnaire!$C24),questionnaire!B24,"")</f>
        <v/>
      </c>
      <c r="I20" s="44" t="str">
        <f>IF(COUNTA(questionnaire!$C24),questionnaire!C24,"")</f>
        <v/>
      </c>
      <c r="J20" s="13" t="str">
        <f>IF(COUNTA(questionnaire!$C24),questionnaire!G24,"")</f>
        <v/>
      </c>
      <c r="K20" s="14" t="str">
        <f>IF(COUNTA(questionnaire!$C24),questionnaire!H24,"")</f>
        <v/>
      </c>
      <c r="L20" s="13" t="str">
        <f>IF(COUNTA(questionnaire!$C24),questionnaire!I24,"")</f>
        <v/>
      </c>
      <c r="M20" s="13" t="str">
        <f>IF(COUNTA(questionnaire!$C24),questionnaire!J24,"")</f>
        <v/>
      </c>
      <c r="N20" s="13" t="str">
        <f>IF(COUNTA(questionnaire!$C24),questionnaire!K24,"")</f>
        <v/>
      </c>
    </row>
    <row r="21" spans="1:14" ht="25.95" hidden="1" customHeight="1" x14ac:dyDescent="0.35">
      <c r="A21" s="16" t="str">
        <f>IF(COUNTA(questionnaire!$C25),questionnaire!$D$1,"")</f>
        <v/>
      </c>
      <c r="B21" s="56" t="str">
        <f>IF(COUNTA(questionnaire!$C25),questionnaire!$B$1,"")</f>
        <v/>
      </c>
      <c r="C21" s="56" t="str">
        <f>IF(COUNTA(questionnaire!$C25),questionnaire!$D$2,"")</f>
        <v/>
      </c>
      <c r="D21" s="15" t="str">
        <f>IF(COUNTA(questionnaire!$C25),questionnaire!$B$2,"")</f>
        <v/>
      </c>
      <c r="E21" s="17" t="str">
        <f>IF(COUNTA(questionnaire!$C25),questionnaire!$F$1,"")</f>
        <v/>
      </c>
      <c r="F21" s="17" t="str">
        <f>IF(COUNTA(questionnaire!$C25),questionnaire!$F$2,"")</f>
        <v/>
      </c>
      <c r="G21" s="11" t="str">
        <f>IF(COUNTA(questionnaire!$C25),questionnaire!A25,"")</f>
        <v/>
      </c>
      <c r="H21" s="11" t="str">
        <f>IF(COUNTA(questionnaire!$C25),questionnaire!B25,"")</f>
        <v/>
      </c>
      <c r="I21" s="44" t="str">
        <f>IF(COUNTA(questionnaire!$C25),questionnaire!C25,"")</f>
        <v/>
      </c>
      <c r="J21" s="13" t="str">
        <f>IF(COUNTA(questionnaire!$C25),questionnaire!G25,"")</f>
        <v/>
      </c>
      <c r="K21" s="14" t="str">
        <f>IF(COUNTA(questionnaire!$C25),questionnaire!H25,"")</f>
        <v/>
      </c>
      <c r="L21" s="13" t="str">
        <f>IF(COUNTA(questionnaire!$C25),questionnaire!I25,"")</f>
        <v/>
      </c>
      <c r="M21" s="13" t="str">
        <f>IF(COUNTA(questionnaire!$C25),questionnaire!J25,"")</f>
        <v/>
      </c>
      <c r="N21" s="13" t="str">
        <f>IF(COUNTA(questionnaire!$C25),questionnaire!K25,"")</f>
        <v/>
      </c>
    </row>
    <row r="22" spans="1:14" x14ac:dyDescent="0.35">
      <c r="A22" s="48"/>
      <c r="B22" s="49"/>
      <c r="C22" s="49"/>
      <c r="D22" s="50"/>
      <c r="E22" s="49"/>
      <c r="F22" s="49"/>
      <c r="G22" s="51"/>
      <c r="H22" s="51"/>
      <c r="I22" s="51"/>
      <c r="J22" s="51"/>
      <c r="K22" s="51"/>
      <c r="L22" s="51"/>
      <c r="M22" s="51"/>
      <c r="N22" s="51"/>
    </row>
    <row r="23" spans="1:14" ht="57" customHeight="1" x14ac:dyDescent="0.35">
      <c r="A23" s="12" t="str">
        <f>questionnaire!$C$1</f>
        <v>Date début cours</v>
      </c>
      <c r="B23" s="40" t="str">
        <f>questionnaire!$A$1</f>
        <v>ID cours</v>
      </c>
      <c r="C23" s="40" t="str">
        <f>questionnaire!$C$2</f>
        <v>ID_formateur1</v>
      </c>
      <c r="D23" s="42" t="str">
        <f>questionnaire!$A$2</f>
        <v>Lieu formation</v>
      </c>
      <c r="E23" s="40" t="str">
        <f>questionnaire!$E$1</f>
        <v>Durée [H]</v>
      </c>
      <c r="F23" s="40" t="str">
        <f>questionnaire!$E$2</f>
        <v>Nb participants</v>
      </c>
      <c r="G23" s="52" t="s">
        <v>41</v>
      </c>
      <c r="H23" s="47" t="str">
        <f>questionnaire!$B$5</f>
        <v>Catégorie</v>
      </c>
      <c r="I23" s="52" t="str">
        <f>questionnaire!$A$26</f>
        <v>Remarques, propositions, demandes d'améliorations, idées de cours complémentaires, etc.</v>
      </c>
    </row>
    <row r="24" spans="1:14" ht="25.95" customHeight="1" x14ac:dyDescent="0.35">
      <c r="A24" s="72" t="str">
        <f>IF(COUNTA(questionnaire!$C27),questionnaire!$D$1,"")</f>
        <v/>
      </c>
      <c r="B24" s="71" t="str">
        <f>IF(COUNTA(questionnaire!$C27),questionnaire!$B$1,"")</f>
        <v/>
      </c>
      <c r="C24" s="71" t="str">
        <f>IF(COUNTA(questionnaire!$C27),questionnaire!$D$2,"")</f>
        <v/>
      </c>
      <c r="D24" s="71" t="str">
        <f>IF(COUNTA(questionnaire!$C27),questionnaire!$B$2,"")</f>
        <v/>
      </c>
      <c r="E24" s="13" t="str">
        <f>IF(COUNTA(questionnaire!$C27),questionnaire!$F$1,"")</f>
        <v/>
      </c>
      <c r="F24" s="13" t="str">
        <f>IF(COUNTA(questionnaire!$C27),questionnaire!$F$2,"")</f>
        <v/>
      </c>
      <c r="G24" s="44" t="str">
        <f>IF(COUNTA(questionnaire!$C27),questionnaire!A27,"")</f>
        <v/>
      </c>
      <c r="H24" s="73" t="str">
        <f>IF(COUNTA(questionnaire!$C27),questionnaire!B27,"")</f>
        <v/>
      </c>
      <c r="I24" s="76" t="str">
        <f>IF(COUNTA(questionnaire!$C27),questionnaire!C27,"")</f>
        <v/>
      </c>
    </row>
    <row r="25" spans="1:14" ht="25.95" customHeight="1" x14ac:dyDescent="0.35">
      <c r="A25" s="72" t="str">
        <f>IF(COUNTA(questionnaire!$C28),questionnaire!$D$1,"")</f>
        <v/>
      </c>
      <c r="B25" s="71" t="str">
        <f>IF(COUNTA(questionnaire!$C28),questionnaire!$B$1,"")</f>
        <v/>
      </c>
      <c r="C25" s="71" t="str">
        <f>IF(COUNTA(questionnaire!$C28),questionnaire!$D$2,"")</f>
        <v/>
      </c>
      <c r="D25" s="71" t="str">
        <f>IF(COUNTA(questionnaire!$C28),questionnaire!$B$2,"")</f>
        <v/>
      </c>
      <c r="E25" s="13" t="str">
        <f>IF(COUNTA(questionnaire!$C28),questionnaire!$F$1,"")</f>
        <v/>
      </c>
      <c r="F25" s="13" t="str">
        <f>IF(COUNTA(questionnaire!$C28),questionnaire!$F$2,"")</f>
        <v/>
      </c>
      <c r="G25" s="44" t="str">
        <f>IF(COUNTA(questionnaire!$C28),questionnaire!A28,"")</f>
        <v/>
      </c>
      <c r="H25" s="73" t="str">
        <f>IF(COUNTA(questionnaire!$C28),questionnaire!B28,"")</f>
        <v/>
      </c>
      <c r="I25" s="76" t="str">
        <f>IF(COUNTA(questionnaire!$C28),questionnaire!C28,"")</f>
        <v/>
      </c>
    </row>
    <row r="26" spans="1:14" ht="25.95" customHeight="1" x14ac:dyDescent="0.35">
      <c r="A26" s="72" t="str">
        <f>IF(COUNTA(questionnaire!$C29),questionnaire!$D$1,"")</f>
        <v/>
      </c>
      <c r="B26" s="71" t="str">
        <f>IF(COUNTA(questionnaire!$C29),questionnaire!$B$1,"")</f>
        <v/>
      </c>
      <c r="C26" s="71" t="str">
        <f>IF(COUNTA(questionnaire!$C29),questionnaire!$D$2,"")</f>
        <v/>
      </c>
      <c r="D26" s="71" t="str">
        <f>IF(COUNTA(questionnaire!$C29),questionnaire!$B$2,"")</f>
        <v/>
      </c>
      <c r="E26" s="13" t="str">
        <f>IF(COUNTA(questionnaire!$C29),questionnaire!$F$1,"")</f>
        <v/>
      </c>
      <c r="F26" s="13" t="str">
        <f>IF(COUNTA(questionnaire!$C29),questionnaire!$F$2,"")</f>
        <v/>
      </c>
      <c r="G26" s="44" t="str">
        <f>IF(COUNTA(questionnaire!$C29),questionnaire!A29,"")</f>
        <v/>
      </c>
      <c r="H26" s="73" t="str">
        <f>IF(COUNTA(questionnaire!$C29),questionnaire!B29,"")</f>
        <v/>
      </c>
      <c r="I26" s="76" t="str">
        <f>IF(COUNTA(questionnaire!$C29),questionnaire!C29,"")</f>
        <v/>
      </c>
    </row>
    <row r="27" spans="1:14" ht="25.95" customHeight="1" x14ac:dyDescent="0.35">
      <c r="A27" s="72" t="str">
        <f>IF(COUNTA(questionnaire!$C30),questionnaire!$D$1,"")</f>
        <v/>
      </c>
      <c r="B27" s="71" t="str">
        <f>IF(COUNTA(questionnaire!$C30),questionnaire!$B$1,"")</f>
        <v/>
      </c>
      <c r="C27" s="71" t="str">
        <f>IF(COUNTA(questionnaire!$C30),questionnaire!$D$2,"")</f>
        <v/>
      </c>
      <c r="D27" s="71" t="str">
        <f>IF(COUNTA(questionnaire!$C30),questionnaire!$B$2,"")</f>
        <v/>
      </c>
      <c r="E27" s="13" t="str">
        <f>IF(COUNTA(questionnaire!$C30),questionnaire!$F$1,"")</f>
        <v/>
      </c>
      <c r="F27" s="13" t="str">
        <f>IF(COUNTA(questionnaire!$C30),questionnaire!$F$2,"")</f>
        <v/>
      </c>
      <c r="G27" s="44" t="str">
        <f>IF(COUNTA(questionnaire!$C30),questionnaire!A30,"")</f>
        <v/>
      </c>
      <c r="H27" s="73" t="str">
        <f>IF(COUNTA(questionnaire!$C30),questionnaire!B30,"")</f>
        <v/>
      </c>
      <c r="I27" s="76" t="str">
        <f>IF(COUNTA(questionnaire!$C30),questionnaire!C30,"")</f>
        <v/>
      </c>
    </row>
    <row r="28" spans="1:14" ht="25.95" customHeight="1" x14ac:dyDescent="0.35">
      <c r="A28" s="72" t="str">
        <f>IF(COUNTA(questionnaire!$C31),questionnaire!$D$1,"")</f>
        <v/>
      </c>
      <c r="B28" s="71" t="str">
        <f>IF(COUNTA(questionnaire!$C31),questionnaire!$B$1,"")</f>
        <v/>
      </c>
      <c r="C28" s="71" t="str">
        <f>IF(COUNTA(questionnaire!$C31),questionnaire!$D$2,"")</f>
        <v/>
      </c>
      <c r="D28" s="71" t="str">
        <f>IF(COUNTA(questionnaire!$C31),questionnaire!$B$2,"")</f>
        <v/>
      </c>
      <c r="E28" s="13" t="str">
        <f>IF(COUNTA(questionnaire!$C31),questionnaire!$F$1,"")</f>
        <v/>
      </c>
      <c r="F28" s="13" t="str">
        <f>IF(COUNTA(questionnaire!$C31),questionnaire!$F$2,"")</f>
        <v/>
      </c>
      <c r="G28" s="44" t="str">
        <f>IF(COUNTA(questionnaire!$C31),questionnaire!A31,"")</f>
        <v/>
      </c>
      <c r="H28" s="73" t="str">
        <f>IF(COUNTA(questionnaire!$C31),questionnaire!B31,"")</f>
        <v/>
      </c>
      <c r="I28" s="76" t="str">
        <f>IF(COUNTA(questionnaire!$C31),questionnaire!C31,"")</f>
        <v/>
      </c>
    </row>
    <row r="29" spans="1:14" ht="25.95" customHeight="1" x14ac:dyDescent="0.35">
      <c r="A29" s="72" t="str">
        <f>IF(COUNTA(questionnaire!$C32),questionnaire!$D$1,"")</f>
        <v/>
      </c>
      <c r="B29" s="71" t="str">
        <f>IF(COUNTA(questionnaire!$C32),questionnaire!$B$1,"")</f>
        <v/>
      </c>
      <c r="C29" s="71" t="str">
        <f>IF(COUNTA(questionnaire!$C32),questionnaire!$D$2,"")</f>
        <v/>
      </c>
      <c r="D29" s="71" t="str">
        <f>IF(COUNTA(questionnaire!$C32),questionnaire!$B$2,"")</f>
        <v/>
      </c>
      <c r="E29" s="13" t="str">
        <f>IF(COUNTA(questionnaire!$C32),questionnaire!$F$1,"")</f>
        <v/>
      </c>
      <c r="F29" s="13" t="str">
        <f>IF(COUNTA(questionnaire!$C32),questionnaire!$F$2,"")</f>
        <v/>
      </c>
      <c r="G29" s="44" t="str">
        <f>IF(COUNTA(questionnaire!$C32),questionnaire!A32,"")</f>
        <v/>
      </c>
      <c r="H29" s="73" t="str">
        <f>IF(COUNTA(questionnaire!$C32),questionnaire!B32,"")</f>
        <v/>
      </c>
      <c r="I29" s="76" t="str">
        <f>IF(COUNTA(questionnaire!$C32),questionnaire!C32,"")</f>
        <v/>
      </c>
    </row>
    <row r="30" spans="1:14" ht="25.95" customHeight="1" x14ac:dyDescent="0.35">
      <c r="A30" s="72" t="str">
        <f>IF(COUNTA(questionnaire!$C33),questionnaire!$D$1,"")</f>
        <v/>
      </c>
      <c r="B30" s="71" t="str">
        <f>IF(COUNTA(questionnaire!$C33),questionnaire!$B$1,"")</f>
        <v/>
      </c>
      <c r="C30" s="71" t="str">
        <f>IF(COUNTA(questionnaire!$C33),questionnaire!$D$2,"")</f>
        <v/>
      </c>
      <c r="D30" s="71" t="str">
        <f>IF(COUNTA(questionnaire!$C33),questionnaire!$B$2,"")</f>
        <v/>
      </c>
      <c r="E30" s="13" t="str">
        <f>IF(COUNTA(questionnaire!$C33),questionnaire!$F$1,"")</f>
        <v/>
      </c>
      <c r="F30" s="13" t="str">
        <f>IF(COUNTA(questionnaire!$C33),questionnaire!$F$2,"")</f>
        <v/>
      </c>
      <c r="G30" s="44" t="str">
        <f>IF(COUNTA(questionnaire!$C33),questionnaire!A33,"")</f>
        <v/>
      </c>
      <c r="H30" s="73" t="str">
        <f>IF(COUNTA(questionnaire!$C33),questionnaire!B33,"")</f>
        <v/>
      </c>
      <c r="I30" s="76" t="str">
        <f>IF(COUNTA(questionnaire!$C33),questionnaire!C33,"")</f>
        <v/>
      </c>
    </row>
    <row r="31" spans="1:14" ht="25.95" customHeight="1" x14ac:dyDescent="0.35">
      <c r="A31" s="72" t="str">
        <f>IF(COUNTA(questionnaire!$C34),questionnaire!$D$1,"")</f>
        <v/>
      </c>
      <c r="B31" s="71" t="str">
        <f>IF(COUNTA(questionnaire!$C34),questionnaire!$B$1,"")</f>
        <v/>
      </c>
      <c r="C31" s="71" t="str">
        <f>IF(COUNTA(questionnaire!$C34),questionnaire!$D$2,"")</f>
        <v/>
      </c>
      <c r="D31" s="71" t="str">
        <f>IF(COUNTA(questionnaire!$C34),questionnaire!$B$2,"")</f>
        <v/>
      </c>
      <c r="E31" s="13" t="str">
        <f>IF(COUNTA(questionnaire!$C34),questionnaire!$F$1,"")</f>
        <v/>
      </c>
      <c r="F31" s="13" t="str">
        <f>IF(COUNTA(questionnaire!$C34),questionnaire!$F$2,"")</f>
        <v/>
      </c>
      <c r="G31" s="44" t="str">
        <f>IF(COUNTA(questionnaire!$C34),questionnaire!A34,"")</f>
        <v/>
      </c>
      <c r="H31" s="73" t="str">
        <f>IF(COUNTA(questionnaire!$C34),questionnaire!B34,"")</f>
        <v/>
      </c>
      <c r="I31" s="76" t="str">
        <f>IF(COUNTA(questionnaire!$C34),questionnaire!C34,"")</f>
        <v/>
      </c>
    </row>
    <row r="32" spans="1:14" ht="25.95" customHeight="1" x14ac:dyDescent="0.35">
      <c r="A32" s="72" t="str">
        <f>IF(COUNTA(questionnaire!$C35),questionnaire!$D$1,"")</f>
        <v/>
      </c>
      <c r="B32" s="71" t="str">
        <f>IF(COUNTA(questionnaire!$C35),questionnaire!$B$1,"")</f>
        <v/>
      </c>
      <c r="C32" s="71" t="str">
        <f>IF(COUNTA(questionnaire!$C35),questionnaire!$D$2,"")</f>
        <v/>
      </c>
      <c r="D32" s="71" t="str">
        <f>IF(COUNTA(questionnaire!$C35),questionnaire!$B$2,"")</f>
        <v/>
      </c>
      <c r="E32" s="13" t="str">
        <f>IF(COUNTA(questionnaire!$C35),questionnaire!$F$1,"")</f>
        <v/>
      </c>
      <c r="F32" s="13" t="str">
        <f>IF(COUNTA(questionnaire!$C35),questionnaire!$F$2,"")</f>
        <v/>
      </c>
      <c r="G32" s="44" t="str">
        <f>IF(COUNTA(questionnaire!$C35),questionnaire!A35,"")</f>
        <v/>
      </c>
      <c r="H32" s="73" t="str">
        <f>IF(COUNTA(questionnaire!$C35),questionnaire!B35,"")</f>
        <v/>
      </c>
      <c r="I32" s="76" t="str">
        <f>IF(COUNTA(questionnaire!$C35),questionnaire!C35,"")</f>
        <v/>
      </c>
    </row>
    <row r="33" spans="1:9" ht="25.95" customHeight="1" x14ac:dyDescent="0.35">
      <c r="A33" s="72" t="str">
        <f>IF(COUNTA(questionnaire!$C36),questionnaire!$D$1,"")</f>
        <v/>
      </c>
      <c r="B33" s="71" t="str">
        <f>IF(COUNTA(questionnaire!$C36),questionnaire!$B$1,"")</f>
        <v/>
      </c>
      <c r="C33" s="71" t="str">
        <f>IF(COUNTA(questionnaire!$C36),questionnaire!$D$2,"")</f>
        <v/>
      </c>
      <c r="D33" s="71" t="str">
        <f>IF(COUNTA(questionnaire!$C36),questionnaire!$B$2,"")</f>
        <v/>
      </c>
      <c r="E33" s="13" t="str">
        <f>IF(COUNTA(questionnaire!$C36),questionnaire!$F$1,"")</f>
        <v/>
      </c>
      <c r="F33" s="13" t="str">
        <f>IF(COUNTA(questionnaire!$C36),questionnaire!$F$2,"")</f>
        <v/>
      </c>
      <c r="G33" s="44" t="str">
        <f>IF(COUNTA(questionnaire!$C36),questionnaire!A36,"")</f>
        <v/>
      </c>
      <c r="H33" s="73" t="str">
        <f>IF(COUNTA(questionnaire!$C36),questionnaire!B36,"")</f>
        <v/>
      </c>
      <c r="I33" s="76" t="str">
        <f>IF(COUNTA(questionnaire!$C36),questionnaire!C36,"")</f>
        <v/>
      </c>
    </row>
    <row r="34" spans="1:9" x14ac:dyDescent="0.35">
      <c r="A34" s="7"/>
    </row>
    <row r="35" spans="1:9" x14ac:dyDescent="0.35">
      <c r="A35" s="7"/>
    </row>
    <row r="36" spans="1:9" x14ac:dyDescent="0.35">
      <c r="A36" s="7"/>
    </row>
    <row r="37" spans="1:9" x14ac:dyDescent="0.35">
      <c r="A37" s="7"/>
    </row>
    <row r="38" spans="1:9" x14ac:dyDescent="0.35">
      <c r="A38" s="7"/>
    </row>
    <row r="39" spans="1:9" x14ac:dyDescent="0.35">
      <c r="A39" s="7"/>
    </row>
    <row r="40" spans="1:9" x14ac:dyDescent="0.35">
      <c r="A40" s="7"/>
    </row>
    <row r="41" spans="1:9" x14ac:dyDescent="0.35">
      <c r="A41" s="7"/>
    </row>
    <row r="42" spans="1:9" x14ac:dyDescent="0.35">
      <c r="A42" s="7"/>
    </row>
    <row r="43" spans="1:9" x14ac:dyDescent="0.35">
      <c r="A43" s="7"/>
    </row>
    <row r="44" spans="1:9" x14ac:dyDescent="0.35">
      <c r="A44" s="7"/>
    </row>
    <row r="45" spans="1:9" x14ac:dyDescent="0.35">
      <c r="A45" s="7"/>
    </row>
    <row r="46" spans="1:9" x14ac:dyDescent="0.35">
      <c r="A46" s="7"/>
    </row>
    <row r="47" spans="1:9" x14ac:dyDescent="0.35">
      <c r="A47" s="7"/>
    </row>
    <row r="48" spans="1:9" x14ac:dyDescent="0.35">
      <c r="A48" s="7"/>
    </row>
    <row r="49" spans="1:1" x14ac:dyDescent="0.35">
      <c r="A49" s="7"/>
    </row>
    <row r="50" spans="1:1" x14ac:dyDescent="0.35">
      <c r="A50" s="7"/>
    </row>
    <row r="51" spans="1:1" x14ac:dyDescent="0.35">
      <c r="A51" s="7"/>
    </row>
    <row r="52" spans="1:1" x14ac:dyDescent="0.35">
      <c r="A52" s="7"/>
    </row>
    <row r="53" spans="1:1" x14ac:dyDescent="0.35">
      <c r="A53" s="7"/>
    </row>
    <row r="54" spans="1:1" x14ac:dyDescent="0.35">
      <c r="A54" s="7"/>
    </row>
    <row r="55" spans="1:1" x14ac:dyDescent="0.35">
      <c r="A55" s="7"/>
    </row>
    <row r="56" spans="1:1" x14ac:dyDescent="0.35">
      <c r="A56" s="7"/>
    </row>
    <row r="57" spans="1:1" x14ac:dyDescent="0.35">
      <c r="A57" s="7"/>
    </row>
    <row r="58" spans="1:1" x14ac:dyDescent="0.35">
      <c r="A58" s="7"/>
    </row>
    <row r="59" spans="1:1" x14ac:dyDescent="0.35">
      <c r="A59" s="7"/>
    </row>
    <row r="60" spans="1:1" x14ac:dyDescent="0.35">
      <c r="A60" s="7"/>
    </row>
    <row r="61" spans="1:1" x14ac:dyDescent="0.35">
      <c r="A61" s="7"/>
    </row>
    <row r="62" spans="1:1" x14ac:dyDescent="0.35">
      <c r="A62" s="7"/>
    </row>
    <row r="63" spans="1:1" x14ac:dyDescent="0.35">
      <c r="A63" s="7"/>
    </row>
    <row r="64" spans="1:1" x14ac:dyDescent="0.35">
      <c r="A64" s="7"/>
    </row>
    <row r="65" spans="1:1" x14ac:dyDescent="0.35">
      <c r="A65" s="7"/>
    </row>
    <row r="66" spans="1:1" x14ac:dyDescent="0.35">
      <c r="A66" s="7"/>
    </row>
    <row r="67" spans="1:1" x14ac:dyDescent="0.35">
      <c r="A67" s="7"/>
    </row>
    <row r="68" spans="1:1" x14ac:dyDescent="0.35">
      <c r="A68" s="7"/>
    </row>
    <row r="69" spans="1:1" x14ac:dyDescent="0.35">
      <c r="A69" s="7"/>
    </row>
    <row r="70" spans="1:1" x14ac:dyDescent="0.35">
      <c r="A70" s="7"/>
    </row>
    <row r="71" spans="1:1" x14ac:dyDescent="0.35">
      <c r="A71" s="7"/>
    </row>
    <row r="72" spans="1:1" x14ac:dyDescent="0.35">
      <c r="A72" s="7"/>
    </row>
    <row r="73" spans="1:1" x14ac:dyDescent="0.35">
      <c r="A73" s="7"/>
    </row>
    <row r="74" spans="1:1" x14ac:dyDescent="0.35">
      <c r="A74" s="7"/>
    </row>
    <row r="75" spans="1:1" x14ac:dyDescent="0.35">
      <c r="A75" s="7"/>
    </row>
    <row r="76" spans="1:1" x14ac:dyDescent="0.35">
      <c r="A76" s="7"/>
    </row>
    <row r="77" spans="1:1" x14ac:dyDescent="0.35">
      <c r="A77" s="7"/>
    </row>
    <row r="78" spans="1:1" x14ac:dyDescent="0.35">
      <c r="A78" s="7"/>
    </row>
    <row r="79" spans="1:1" x14ac:dyDescent="0.35">
      <c r="A79" s="7"/>
    </row>
    <row r="80" spans="1:1" x14ac:dyDescent="0.35">
      <c r="A80" s="7"/>
    </row>
    <row r="81" spans="1:1" x14ac:dyDescent="0.35">
      <c r="A81" s="7"/>
    </row>
    <row r="82" spans="1:1" x14ac:dyDescent="0.35">
      <c r="A82" s="7"/>
    </row>
    <row r="83" spans="1:1" x14ac:dyDescent="0.35">
      <c r="A83" s="7"/>
    </row>
    <row r="84" spans="1:1" x14ac:dyDescent="0.35">
      <c r="A84" s="7"/>
    </row>
    <row r="85" spans="1:1" x14ac:dyDescent="0.35">
      <c r="A85" s="7"/>
    </row>
    <row r="86" spans="1:1" x14ac:dyDescent="0.35">
      <c r="A86" s="7"/>
    </row>
    <row r="87" spans="1:1" x14ac:dyDescent="0.35">
      <c r="A87" s="7"/>
    </row>
    <row r="88" spans="1:1" x14ac:dyDescent="0.35">
      <c r="A88" s="7"/>
    </row>
    <row r="89" spans="1:1" x14ac:dyDescent="0.35">
      <c r="A89" s="7"/>
    </row>
    <row r="90" spans="1:1" x14ac:dyDescent="0.35">
      <c r="A90" s="7"/>
    </row>
    <row r="91" spans="1:1" x14ac:dyDescent="0.35">
      <c r="A91" s="7"/>
    </row>
    <row r="92" spans="1:1" x14ac:dyDescent="0.35">
      <c r="A92" s="7"/>
    </row>
    <row r="93" spans="1:1" x14ac:dyDescent="0.35">
      <c r="A93" s="7"/>
    </row>
    <row r="94" spans="1:1" x14ac:dyDescent="0.35">
      <c r="A94" s="7"/>
    </row>
    <row r="95" spans="1:1" x14ac:dyDescent="0.35">
      <c r="A95" s="7"/>
    </row>
    <row r="96" spans="1:1" x14ac:dyDescent="0.35">
      <c r="A96" s="7"/>
    </row>
    <row r="97" spans="1:1" x14ac:dyDescent="0.35">
      <c r="A97" s="7"/>
    </row>
    <row r="98" spans="1:1" x14ac:dyDescent="0.35">
      <c r="A98" s="7"/>
    </row>
    <row r="99" spans="1:1" x14ac:dyDescent="0.35">
      <c r="A99" s="7"/>
    </row>
    <row r="100" spans="1:1" x14ac:dyDescent="0.35">
      <c r="A100" s="7"/>
    </row>
    <row r="101" spans="1:1" x14ac:dyDescent="0.35">
      <c r="A101" s="7"/>
    </row>
    <row r="102" spans="1:1" x14ac:dyDescent="0.35">
      <c r="A102" s="7"/>
    </row>
    <row r="103" spans="1:1" x14ac:dyDescent="0.35">
      <c r="A103" s="7"/>
    </row>
    <row r="104" spans="1:1" x14ac:dyDescent="0.35">
      <c r="A104" s="7"/>
    </row>
    <row r="105" spans="1:1" x14ac:dyDescent="0.35">
      <c r="A105" s="7"/>
    </row>
    <row r="106" spans="1:1" x14ac:dyDescent="0.35">
      <c r="A106" s="7"/>
    </row>
    <row r="107" spans="1:1" x14ac:dyDescent="0.35">
      <c r="A107" s="7"/>
    </row>
    <row r="108" spans="1:1" x14ac:dyDescent="0.35">
      <c r="A108" s="7"/>
    </row>
    <row r="109" spans="1:1" x14ac:dyDescent="0.35">
      <c r="A109" s="7"/>
    </row>
    <row r="110" spans="1:1" x14ac:dyDescent="0.35">
      <c r="A110" s="7"/>
    </row>
    <row r="111" spans="1:1" x14ac:dyDescent="0.35">
      <c r="A111" s="7"/>
    </row>
    <row r="112" spans="1:1" x14ac:dyDescent="0.35">
      <c r="A112" s="7"/>
    </row>
    <row r="113" spans="1:1" x14ac:dyDescent="0.35">
      <c r="A113" s="7"/>
    </row>
    <row r="114" spans="1:1" x14ac:dyDescent="0.35">
      <c r="A114" s="7"/>
    </row>
    <row r="115" spans="1:1" x14ac:dyDescent="0.35">
      <c r="A115" s="7"/>
    </row>
    <row r="116" spans="1:1" x14ac:dyDescent="0.35">
      <c r="A116" s="7"/>
    </row>
    <row r="117" spans="1:1" x14ac:dyDescent="0.35">
      <c r="A117" s="7"/>
    </row>
    <row r="118" spans="1:1" x14ac:dyDescent="0.35">
      <c r="A118" s="7"/>
    </row>
    <row r="119" spans="1:1" x14ac:dyDescent="0.35">
      <c r="A119" s="7"/>
    </row>
    <row r="120" spans="1:1" x14ac:dyDescent="0.35">
      <c r="A120" s="7"/>
    </row>
    <row r="121" spans="1:1" x14ac:dyDescent="0.35">
      <c r="A121" s="7"/>
    </row>
    <row r="122" spans="1:1" x14ac:dyDescent="0.35">
      <c r="A122" s="7"/>
    </row>
    <row r="123" spans="1:1" x14ac:dyDescent="0.35">
      <c r="A123" s="7"/>
    </row>
    <row r="124" spans="1:1" x14ac:dyDescent="0.35">
      <c r="A124" s="7"/>
    </row>
    <row r="125" spans="1:1" x14ac:dyDescent="0.35">
      <c r="A125" s="7"/>
    </row>
    <row r="126" spans="1:1" x14ac:dyDescent="0.35">
      <c r="A126" s="7"/>
    </row>
    <row r="127" spans="1:1" x14ac:dyDescent="0.35">
      <c r="A127" s="7"/>
    </row>
    <row r="128" spans="1:1" x14ac:dyDescent="0.35">
      <c r="A128" s="7"/>
    </row>
    <row r="129" spans="1:1" x14ac:dyDescent="0.35">
      <c r="A129" s="7"/>
    </row>
    <row r="130" spans="1:1" x14ac:dyDescent="0.35">
      <c r="A130" s="7"/>
    </row>
    <row r="131" spans="1:1" x14ac:dyDescent="0.35">
      <c r="A131" s="7"/>
    </row>
    <row r="132" spans="1:1" x14ac:dyDescent="0.35">
      <c r="A132" s="7"/>
    </row>
    <row r="133" spans="1:1" x14ac:dyDescent="0.35">
      <c r="A133" s="7"/>
    </row>
    <row r="134" spans="1:1" x14ac:dyDescent="0.35">
      <c r="A134" s="7"/>
    </row>
    <row r="135" spans="1:1" x14ac:dyDescent="0.35">
      <c r="A135" s="7"/>
    </row>
    <row r="136" spans="1:1" x14ac:dyDescent="0.35">
      <c r="A136" s="7"/>
    </row>
    <row r="137" spans="1:1" x14ac:dyDescent="0.35">
      <c r="A137" s="7"/>
    </row>
    <row r="138" spans="1:1" x14ac:dyDescent="0.35">
      <c r="A138" s="7"/>
    </row>
    <row r="139" spans="1:1" x14ac:dyDescent="0.35">
      <c r="A139" s="7"/>
    </row>
    <row r="140" spans="1:1" x14ac:dyDescent="0.35">
      <c r="A140" s="7"/>
    </row>
    <row r="141" spans="1:1" x14ac:dyDescent="0.35">
      <c r="A141" s="7"/>
    </row>
    <row r="142" spans="1:1" x14ac:dyDescent="0.35">
      <c r="A142" s="7"/>
    </row>
    <row r="143" spans="1:1" x14ac:dyDescent="0.35">
      <c r="A143" s="7"/>
    </row>
    <row r="144" spans="1:1" x14ac:dyDescent="0.35">
      <c r="A144" s="7"/>
    </row>
    <row r="145" spans="1:1" x14ac:dyDescent="0.35">
      <c r="A145" s="7"/>
    </row>
    <row r="146" spans="1:1" x14ac:dyDescent="0.35">
      <c r="A146" s="7"/>
    </row>
    <row r="147" spans="1:1" x14ac:dyDescent="0.35">
      <c r="A147" s="7"/>
    </row>
    <row r="148" spans="1:1" x14ac:dyDescent="0.35">
      <c r="A148" s="7"/>
    </row>
    <row r="149" spans="1:1" x14ac:dyDescent="0.35">
      <c r="A149" s="7"/>
    </row>
    <row r="150" spans="1:1" x14ac:dyDescent="0.35">
      <c r="A150" s="7"/>
    </row>
    <row r="151" spans="1:1" x14ac:dyDescent="0.35">
      <c r="A151" s="7"/>
    </row>
    <row r="152" spans="1:1" x14ac:dyDescent="0.35">
      <c r="A152" s="7"/>
    </row>
    <row r="153" spans="1:1" x14ac:dyDescent="0.35">
      <c r="A153" s="7"/>
    </row>
    <row r="154" spans="1:1" x14ac:dyDescent="0.35">
      <c r="A154" s="7"/>
    </row>
    <row r="155" spans="1:1" x14ac:dyDescent="0.35">
      <c r="A155" s="7"/>
    </row>
    <row r="156" spans="1:1" x14ac:dyDescent="0.35">
      <c r="A156" s="7"/>
    </row>
    <row r="157" spans="1:1" x14ac:dyDescent="0.35">
      <c r="A157" s="7"/>
    </row>
    <row r="158" spans="1:1" x14ac:dyDescent="0.35">
      <c r="A158" s="7"/>
    </row>
    <row r="159" spans="1:1" x14ac:dyDescent="0.35">
      <c r="A159" s="7"/>
    </row>
    <row r="160" spans="1:1" x14ac:dyDescent="0.35">
      <c r="A160" s="7"/>
    </row>
    <row r="161" spans="1:1" x14ac:dyDescent="0.35">
      <c r="A161" s="7"/>
    </row>
    <row r="162" spans="1:1" x14ac:dyDescent="0.35">
      <c r="A162" s="7"/>
    </row>
    <row r="163" spans="1:1" x14ac:dyDescent="0.35">
      <c r="A163" s="7"/>
    </row>
    <row r="164" spans="1:1" x14ac:dyDescent="0.35">
      <c r="A164" s="7"/>
    </row>
    <row r="165" spans="1:1" x14ac:dyDescent="0.35">
      <c r="A165" s="7"/>
    </row>
    <row r="166" spans="1:1" x14ac:dyDescent="0.35">
      <c r="A166" s="7"/>
    </row>
    <row r="167" spans="1:1" x14ac:dyDescent="0.35">
      <c r="A167" s="7"/>
    </row>
    <row r="168" spans="1:1" x14ac:dyDescent="0.35">
      <c r="A168" s="7"/>
    </row>
    <row r="169" spans="1:1" x14ac:dyDescent="0.35">
      <c r="A169" s="7"/>
    </row>
    <row r="170" spans="1:1" x14ac:dyDescent="0.35">
      <c r="A170" s="7"/>
    </row>
    <row r="171" spans="1:1" x14ac:dyDescent="0.35">
      <c r="A171" s="7"/>
    </row>
    <row r="172" spans="1:1" x14ac:dyDescent="0.35">
      <c r="A172" s="7"/>
    </row>
    <row r="173" spans="1:1" x14ac:dyDescent="0.35">
      <c r="A173" s="7"/>
    </row>
    <row r="174" spans="1:1" x14ac:dyDescent="0.35">
      <c r="A174" s="7"/>
    </row>
    <row r="175" spans="1:1" x14ac:dyDescent="0.35">
      <c r="A175" s="7"/>
    </row>
    <row r="176" spans="1:1" x14ac:dyDescent="0.35">
      <c r="A176" s="7"/>
    </row>
    <row r="177" spans="1:1" x14ac:dyDescent="0.35">
      <c r="A177" s="7"/>
    </row>
    <row r="178" spans="1:1" x14ac:dyDescent="0.35">
      <c r="A178" s="7"/>
    </row>
    <row r="179" spans="1:1" x14ac:dyDescent="0.35">
      <c r="A179" s="7"/>
    </row>
    <row r="180" spans="1:1" x14ac:dyDescent="0.35">
      <c r="A180" s="7"/>
    </row>
    <row r="181" spans="1:1" x14ac:dyDescent="0.35">
      <c r="A181" s="7"/>
    </row>
    <row r="182" spans="1:1" x14ac:dyDescent="0.35">
      <c r="A182" s="7"/>
    </row>
    <row r="183" spans="1:1" x14ac:dyDescent="0.35">
      <c r="A183" s="7"/>
    </row>
    <row r="184" spans="1:1" x14ac:dyDescent="0.35">
      <c r="A184" s="7"/>
    </row>
    <row r="185" spans="1:1" x14ac:dyDescent="0.35">
      <c r="A185" s="7"/>
    </row>
    <row r="186" spans="1:1" x14ac:dyDescent="0.35">
      <c r="A186" s="7"/>
    </row>
    <row r="187" spans="1:1" x14ac:dyDescent="0.35">
      <c r="A187" s="7"/>
    </row>
    <row r="188" spans="1:1" x14ac:dyDescent="0.35">
      <c r="A188" s="7"/>
    </row>
    <row r="189" spans="1:1" x14ac:dyDescent="0.35">
      <c r="A189" s="7"/>
    </row>
    <row r="190" spans="1:1" x14ac:dyDescent="0.35">
      <c r="A190" s="7"/>
    </row>
    <row r="191" spans="1:1" x14ac:dyDescent="0.35">
      <c r="A191" s="7"/>
    </row>
    <row r="192" spans="1:1" x14ac:dyDescent="0.35">
      <c r="A192" s="7"/>
    </row>
    <row r="193" spans="1:1" x14ac:dyDescent="0.35">
      <c r="A193" s="7"/>
    </row>
    <row r="194" spans="1:1" x14ac:dyDescent="0.35">
      <c r="A194" s="7"/>
    </row>
    <row r="195" spans="1:1" x14ac:dyDescent="0.35">
      <c r="A195" s="7"/>
    </row>
    <row r="196" spans="1:1" x14ac:dyDescent="0.35">
      <c r="A196" s="7"/>
    </row>
    <row r="197" spans="1:1" x14ac:dyDescent="0.35">
      <c r="A197" s="7"/>
    </row>
    <row r="198" spans="1:1" x14ac:dyDescent="0.35">
      <c r="A198" s="7"/>
    </row>
    <row r="199" spans="1:1" x14ac:dyDescent="0.35">
      <c r="A199" s="7"/>
    </row>
    <row r="200" spans="1:1" x14ac:dyDescent="0.35">
      <c r="A200" s="7"/>
    </row>
    <row r="201" spans="1:1" x14ac:dyDescent="0.35">
      <c r="A201" s="7"/>
    </row>
    <row r="202" spans="1:1" x14ac:dyDescent="0.35">
      <c r="A202" s="7"/>
    </row>
    <row r="203" spans="1:1" x14ac:dyDescent="0.35">
      <c r="A203" s="7"/>
    </row>
    <row r="204" spans="1:1" x14ac:dyDescent="0.35">
      <c r="A204" s="7"/>
    </row>
    <row r="205" spans="1:1" x14ac:dyDescent="0.35">
      <c r="A205" s="7"/>
    </row>
    <row r="206" spans="1:1" x14ac:dyDescent="0.35">
      <c r="A206" s="7"/>
    </row>
    <row r="207" spans="1:1" x14ac:dyDescent="0.35">
      <c r="A207" s="7"/>
    </row>
    <row r="208" spans="1:1" x14ac:dyDescent="0.35">
      <c r="A208" s="7"/>
    </row>
    <row r="209" spans="1:1" x14ac:dyDescent="0.35">
      <c r="A209" s="7"/>
    </row>
    <row r="210" spans="1:1" x14ac:dyDescent="0.35">
      <c r="A210" s="7"/>
    </row>
    <row r="211" spans="1:1" x14ac:dyDescent="0.35">
      <c r="A211" s="7"/>
    </row>
    <row r="212" spans="1:1" x14ac:dyDescent="0.35">
      <c r="A212" s="7"/>
    </row>
    <row r="213" spans="1:1" x14ac:dyDescent="0.35">
      <c r="A213" s="7"/>
    </row>
    <row r="214" spans="1:1" x14ac:dyDescent="0.35">
      <c r="A214" s="7"/>
    </row>
    <row r="215" spans="1:1" x14ac:dyDescent="0.35">
      <c r="A215" s="7"/>
    </row>
    <row r="216" spans="1:1" x14ac:dyDescent="0.35">
      <c r="A216" s="7"/>
    </row>
    <row r="217" spans="1:1" x14ac:dyDescent="0.35">
      <c r="A217" s="7"/>
    </row>
    <row r="218" spans="1:1" x14ac:dyDescent="0.35">
      <c r="A218" s="7"/>
    </row>
    <row r="219" spans="1:1" x14ac:dyDescent="0.35">
      <c r="A219" s="7"/>
    </row>
    <row r="220" spans="1:1" x14ac:dyDescent="0.35">
      <c r="A220" s="7"/>
    </row>
    <row r="221" spans="1:1" x14ac:dyDescent="0.35">
      <c r="A221" s="7"/>
    </row>
    <row r="222" spans="1:1" x14ac:dyDescent="0.35">
      <c r="A222" s="7"/>
    </row>
    <row r="223" spans="1:1" x14ac:dyDescent="0.35">
      <c r="A223" s="7"/>
    </row>
    <row r="224" spans="1:1" x14ac:dyDescent="0.35">
      <c r="A224" s="7"/>
    </row>
    <row r="225" spans="1:1" x14ac:dyDescent="0.35">
      <c r="A225" s="7"/>
    </row>
    <row r="226" spans="1:1" x14ac:dyDescent="0.35">
      <c r="A226" s="7"/>
    </row>
    <row r="227" spans="1:1" x14ac:dyDescent="0.35">
      <c r="A227" s="7"/>
    </row>
    <row r="228" spans="1:1" x14ac:dyDescent="0.35">
      <c r="A228" s="7"/>
    </row>
    <row r="229" spans="1:1" x14ac:dyDescent="0.35">
      <c r="A229" s="7"/>
    </row>
    <row r="230" spans="1:1" x14ac:dyDescent="0.35">
      <c r="A230" s="7"/>
    </row>
    <row r="231" spans="1:1" x14ac:dyDescent="0.35">
      <c r="A231" s="7"/>
    </row>
    <row r="232" spans="1:1" x14ac:dyDescent="0.35">
      <c r="A232" s="7"/>
    </row>
    <row r="233" spans="1:1" x14ac:dyDescent="0.35">
      <c r="A233" s="7"/>
    </row>
    <row r="234" spans="1:1" x14ac:dyDescent="0.35">
      <c r="A234" s="7"/>
    </row>
    <row r="235" spans="1:1" x14ac:dyDescent="0.35">
      <c r="A235" s="7"/>
    </row>
    <row r="236" spans="1:1" x14ac:dyDescent="0.35">
      <c r="A236" s="7"/>
    </row>
    <row r="237" spans="1:1" x14ac:dyDescent="0.35">
      <c r="A237" s="7"/>
    </row>
    <row r="238" spans="1:1" x14ac:dyDescent="0.35">
      <c r="A238" s="7"/>
    </row>
    <row r="239" spans="1:1" x14ac:dyDescent="0.35">
      <c r="A239" s="7"/>
    </row>
    <row r="240" spans="1:1" x14ac:dyDescent="0.35">
      <c r="A240" s="7"/>
    </row>
    <row r="241" spans="1:1" x14ac:dyDescent="0.35">
      <c r="A241" s="7"/>
    </row>
    <row r="242" spans="1:1" x14ac:dyDescent="0.35">
      <c r="A242" s="7"/>
    </row>
    <row r="243" spans="1:1" x14ac:dyDescent="0.35">
      <c r="A243" s="7"/>
    </row>
    <row r="244" spans="1:1" x14ac:dyDescent="0.35">
      <c r="A244" s="7"/>
    </row>
    <row r="245" spans="1:1" x14ac:dyDescent="0.35">
      <c r="A245" s="7"/>
    </row>
    <row r="246" spans="1:1" x14ac:dyDescent="0.35">
      <c r="A246" s="7"/>
    </row>
    <row r="247" spans="1:1" x14ac:dyDescent="0.35">
      <c r="A247" s="7"/>
    </row>
    <row r="248" spans="1:1" x14ac:dyDescent="0.35">
      <c r="A248" s="7"/>
    </row>
    <row r="249" spans="1:1" x14ac:dyDescent="0.35">
      <c r="A249" s="7"/>
    </row>
    <row r="250" spans="1:1" x14ac:dyDescent="0.35">
      <c r="A250" s="7"/>
    </row>
    <row r="251" spans="1:1" x14ac:dyDescent="0.35">
      <c r="A251" s="7"/>
    </row>
    <row r="252" spans="1:1" x14ac:dyDescent="0.35">
      <c r="A252" s="7"/>
    </row>
    <row r="253" spans="1:1" x14ac:dyDescent="0.35">
      <c r="A253" s="7"/>
    </row>
    <row r="254" spans="1:1" x14ac:dyDescent="0.35">
      <c r="A254" s="7"/>
    </row>
  </sheetData>
  <sheetProtection sheet="1" objects="1" scenarios="1"/>
  <printOptions horizontalCentered="1" verticalCentered="1"/>
  <pageMargins left="0.78740157480314965" right="0.78740157480314965" top="0.59055118110236227" bottom="0.59055118110236227" header="0.31496062992125984" footer="0.19685039370078741"/>
  <pageSetup paperSize="9" scale="40" orientation="portrait" r:id="rId1"/>
  <headerFooter alignWithMargins="0">
    <oddHeader>&amp;CEnquête de satisfaction pour la formation</oddHeader>
    <oddFooter>&amp;L&amp;D&amp;C&amp;F - &amp;A&amp;RPage 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6"/>
  <sheetViews>
    <sheetView workbookViewId="0">
      <selection activeCell="C13" sqref="C13"/>
    </sheetView>
  </sheetViews>
  <sheetFormatPr baseColWidth="10" defaultRowHeight="14.4" x14ac:dyDescent="0.35"/>
  <cols>
    <col min="1" max="1" width="12" customWidth="1"/>
  </cols>
  <sheetData>
    <row r="1" spans="1:1" x14ac:dyDescent="0.35">
      <c r="A1" t="s">
        <v>35</v>
      </c>
    </row>
    <row r="2" spans="1:1" x14ac:dyDescent="0.35">
      <c r="A2" t="s">
        <v>36</v>
      </c>
    </row>
    <row r="3" spans="1:1" x14ac:dyDescent="0.35">
      <c r="A3" t="s">
        <v>39</v>
      </c>
    </row>
    <row r="4" spans="1:1" x14ac:dyDescent="0.35">
      <c r="A4" t="s">
        <v>37</v>
      </c>
    </row>
    <row r="5" spans="1:1" x14ac:dyDescent="0.35">
      <c r="A5" t="s">
        <v>38</v>
      </c>
    </row>
    <row r="6" spans="1:1" x14ac:dyDescent="0.35">
      <c r="A6" t="s">
        <v>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info-agenda</vt:lpstr>
      <vt:lpstr>questionnaire</vt:lpstr>
      <vt:lpstr>graphiques</vt:lpstr>
      <vt:lpstr>bd</vt:lpstr>
      <vt:lpstr>cstes</vt:lpstr>
      <vt:lpstr>graphiques!Zone_d_impression</vt:lpstr>
      <vt:lpstr>questionnaire!Zone_d_impression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Enquête de satisfaction</dc:title>
  <dc:creator/>
  <cp:keywords>enquete satisfaction formation graap</cp:keywords>
  <cp:lastModifiedBy/>
  <dcterms:created xsi:type="dcterms:W3CDTF">2015-11-25T09:52:06Z</dcterms:created>
  <dcterms:modified xsi:type="dcterms:W3CDTF">2016-02-25T14:14:14Z</dcterms:modified>
  <cp:category>formation</cp:category>
</cp:coreProperties>
</file>